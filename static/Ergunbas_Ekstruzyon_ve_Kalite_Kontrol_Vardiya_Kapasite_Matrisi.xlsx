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t &amp; İstasyon Kapasiteleri" sheetId="1" state="visible" r:id="rId1"/>
  </sheets>
  <definedNames>
    <definedName name="_xlnm._FilterDatabase" localSheetId="0" hidden="1">'Hat &amp; İstasyon Kapasiteleri'!$A$4:$R$41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0 &quot;kg&quot;"/>
    <numFmt numFmtId="165" formatCode="#,##0.0 &quot; Boy/sa&quot;"/>
    <numFmt numFmtId="166" formatCode="#,##0 &quot; Boy&quot;"/>
    <numFmt numFmtId="167" formatCode="#,##0.0 &quot; kg&quot;"/>
    <numFmt numFmtId="168" formatCode="#,##0.0 &quot; Plaka/sa&quot;"/>
    <numFmt numFmtId="169" formatCode="#,##0 &quot; Plaka&quot;"/>
    <numFmt numFmtId="170" formatCode="#,##0.0 &quot; Adet/sa&quot;"/>
    <numFmt numFmtId="171" formatCode="#,##0 &quot; Adet&quot;"/>
    <numFmt numFmtId="172" formatCode="#,##0 &quot; Adet/Boy&quot;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9.5"/>
    </font>
    <font>
      <name val="Segoe UI"/>
      <b val="1"/>
      <color rgb="00FFFFFF"/>
      <sz val="10"/>
    </font>
    <font>
      <name val="Segoe UI"/>
      <b val="1"/>
      <color rgb="00FFFFFF"/>
      <sz val="9.5"/>
    </font>
    <font>
      <name val="Segoe UI"/>
      <b val="1"/>
      <color rgb="000F172A"/>
      <sz val="9.5"/>
    </font>
    <font>
      <name val="Segoe UI"/>
      <color rgb="001E293B"/>
      <sz val="9"/>
    </font>
    <font>
      <name val="Segoe UI"/>
      <b val="1"/>
      <color rgb="00047857"/>
      <sz val="9.5"/>
    </font>
    <font>
      <name val="Segoe UI"/>
      <b val="1"/>
      <color rgb="000369A1"/>
      <sz val="9.5"/>
    </font>
    <font>
      <name val="Segoe UI"/>
      <b val="1"/>
      <color rgb="000284C7"/>
      <sz val="9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0F766E"/>
        <bgColor rgb="000F766E"/>
      </patternFill>
    </fill>
    <fill>
      <patternFill patternType="solid">
        <fgColor rgb="00B45309"/>
        <bgColor rgb="00B45309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3" fontId="6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6" fontId="6" fillId="8" borderId="1" applyAlignment="1" pivotButton="0" quotePrefix="0" xfId="0">
      <alignment horizontal="right" vertical="center"/>
    </xf>
    <xf numFmtId="166" fontId="5" fillId="8" borderId="1" applyAlignment="1" pivotButton="0" quotePrefix="0" xfId="0">
      <alignment horizontal="right" vertical="center"/>
    </xf>
    <xf numFmtId="167" fontId="6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168" fontId="7" fillId="8" borderId="1" applyAlignment="1" pivotButton="0" quotePrefix="0" xfId="0">
      <alignment horizontal="right" vertical="center"/>
    </xf>
    <xf numFmtId="169" fontId="6" fillId="8" borderId="1" applyAlignment="1" pivotButton="0" quotePrefix="0" xfId="0">
      <alignment horizontal="right" vertical="center"/>
    </xf>
    <xf numFmtId="169" fontId="5" fillId="8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170" fontId="7" fillId="0" borderId="1" applyAlignment="1" pivotButton="0" quotePrefix="0" xfId="0">
      <alignment horizontal="right" vertical="center"/>
    </xf>
    <xf numFmtId="171" fontId="6" fillId="0" borderId="1" applyAlignment="1" pivotButton="0" quotePrefix="0" xfId="0">
      <alignment horizontal="right" vertical="center"/>
    </xf>
    <xf numFmtId="171" fontId="5" fillId="0" borderId="1" applyAlignment="1" pivotButton="0" quotePrefix="0" xfId="0">
      <alignment horizontal="right" vertical="center"/>
    </xf>
    <xf numFmtId="0" fontId="5" fillId="9" borderId="2" applyAlignment="1" pivotButton="0" quotePrefix="0" xfId="0">
      <alignment horizontal="left" vertical="center"/>
    </xf>
    <xf numFmtId="0" fontId="0" fillId="9" borderId="2" pivotButton="0" quotePrefix="0" xfId="0"/>
    <xf numFmtId="172" fontId="5" fillId="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20" customWidth="1" min="2" max="2"/>
    <col width="15" customWidth="1" min="3" max="3"/>
    <col width="15" customWidth="1" min="4" max="4"/>
    <col width="13" customWidth="1" min="5" max="5"/>
    <col width="13" customWidth="1" min="6" max="6"/>
    <col width="18" customWidth="1" min="7" max="7"/>
    <col width="24" customWidth="1" min="8" max="8"/>
    <col width="16" customWidth="1" min="9" max="9"/>
    <col width="16" customWidth="1" min="10" max="10"/>
    <col width="18" customWidth="1" min="11" max="11"/>
    <col width="18" customWidth="1" min="12" max="12"/>
    <col width="14" customWidth="1" min="13" max="13"/>
    <col width="15" customWidth="1" min="14" max="14"/>
    <col width="18" customWidth="1" min="15" max="15"/>
    <col width="18" customWidth="1" min="16" max="16"/>
    <col width="16" customWidth="1" min="17" max="17"/>
    <col width="18" customWidth="1" min="18" max="18"/>
  </cols>
  <sheetData>
    <row r="1" ht="34" customHeight="1">
      <c r="A1" s="1" t="inlineStr">
        <is>
          <t>ERGUNBAS GROUP — MAKİNE &amp; HAT VARDİYA MESAİ VE KAPASİTE MATRİSİ</t>
        </is>
      </c>
    </row>
    <row r="2" ht="20" customHeight="1">
      <c r="A2" s="2" t="inlineStr">
        <is>
          <t>1. Vardiya: 08:30 / 20:30 (12s / 720 dk Net) | 2. Vardiya: 20:30 / 08:30 (12s / 720 dk Net) | 24 Saat Kesintisiz Çalışma (1.440 dk) | Hat 101 - 109 &amp; Hat 201 ve Kalite Kontrol</t>
        </is>
      </c>
    </row>
    <row r="3" ht="25" customHeight="1">
      <c r="A3" s="3" t="inlineStr">
        <is>
          <t>MÜDÜR İSTASYON &amp; MESAİ PLANI (FOTOĞRAF ŞABLONU)</t>
        </is>
      </c>
      <c r="H3" s="4" t="inlineStr">
        <is>
          <t>HAT BAZLI ÜRETİLEN ÜRÜNLER VE ÖLÇÜLERİ</t>
        </is>
      </c>
      <c r="N3" s="5" t="inlineStr">
        <is>
          <t>KAPASİTE VE HIZ DETAYLARI (720 dk VARDİYA / 1.440 dk 24s GÜNLÜK NET)</t>
        </is>
      </c>
    </row>
    <row r="4" ht="28" customHeight="1">
      <c r="A4" s="6" t="inlineStr">
        <is>
          <t>İSTASYON / HAT</t>
        </is>
      </c>
      <c r="B4" s="6" t="inlineStr">
        <is>
          <t>MESAİ ARALIĞI</t>
        </is>
      </c>
      <c r="C4" s="6" t="inlineStr">
        <is>
          <t>MESAİ SÜRESİ (DK)</t>
        </is>
      </c>
      <c r="D4" s="6" t="inlineStr">
        <is>
          <t>NET ÇALIŞMA (DK)</t>
        </is>
      </c>
      <c r="E4" s="6" t="inlineStr">
        <is>
          <t>A.V. ÇALIŞAN</t>
        </is>
      </c>
      <c r="F4" s="6" t="inlineStr">
        <is>
          <t>B.V. ÇALIŞAN</t>
        </is>
      </c>
      <c r="G4" s="6" t="inlineStr">
        <is>
          <t>GÜNLÜK NET KAPASİTE</t>
        </is>
      </c>
      <c r="H4" s="6" t="inlineStr">
        <is>
          <t>ÜRETİLEN ÜRÜN</t>
        </is>
      </c>
      <c r="I4" s="6" t="inlineStr">
        <is>
          <t>KATEGORİ</t>
        </is>
      </c>
      <c r="J4" s="6" t="inlineStr">
        <is>
          <t>KALIP ÇIKIŞI</t>
        </is>
      </c>
      <c r="K4" s="6" t="inlineStr">
        <is>
          <t>STANDART BOY</t>
        </is>
      </c>
      <c r="L4" s="6" t="inlineStr">
        <is>
          <t>KESİT ÖLÇÜSÜ</t>
        </is>
      </c>
      <c r="M4" s="6" t="inlineStr">
        <is>
          <t>BİRİM AĞIRLIK</t>
        </is>
      </c>
      <c r="N4" s="6" t="inlineStr">
        <is>
          <t>SAATLİK HIZ</t>
        </is>
      </c>
      <c r="O4" s="6" t="inlineStr">
        <is>
          <t>12s VARDİYA KAPASİTESİ</t>
        </is>
      </c>
      <c r="P4" s="6" t="inlineStr">
        <is>
          <t>24s GÜNLÜK KAPASİTE</t>
        </is>
      </c>
      <c r="Q4" s="6" t="inlineStr">
        <is>
          <t>GÜNLÜK TONAJ (KG)</t>
        </is>
      </c>
      <c r="R4" s="6" t="inlineStr">
        <is>
          <t>KAPI EŞDEĞERİ (24s / GÜN)</t>
        </is>
      </c>
    </row>
    <row r="5" ht="20" customHeight="1">
      <c r="A5" s="7" t="inlineStr">
        <is>
          <t>Hat 101</t>
        </is>
      </c>
      <c r="B5" s="8" t="inlineStr">
        <is>
          <t>08:30 / 20:30 (2V)</t>
        </is>
      </c>
      <c r="C5" s="9" t="n">
        <v>720</v>
      </c>
      <c r="D5" s="10" t="n">
        <v>720</v>
      </c>
      <c r="E5" s="11" t="n">
        <v>1</v>
      </c>
      <c r="F5" s="11" t="n">
        <v>1</v>
      </c>
      <c r="G5" s="12" t="inlineStr">
        <is>
          <t>487 Boy / 97 Kapı</t>
        </is>
      </c>
      <c r="H5" s="7" t="inlineStr">
        <is>
          <t>80X80 PERVAZ</t>
        </is>
      </c>
      <c r="I5" s="13" t="inlineStr">
        <is>
          <t>Pervaz Profili</t>
        </is>
      </c>
      <c r="J5" s="8" t="inlineStr">
        <is>
          <t>Tek Göz (1 Kafa)</t>
        </is>
      </c>
      <c r="K5" s="14" t="inlineStr">
        <is>
          <t>2.20 Metre</t>
        </is>
      </c>
      <c r="L5" s="13" t="inlineStr">
        <is>
          <t>80 x 80 mm</t>
        </is>
      </c>
      <c r="M5" s="15" t="n">
        <v>2.2</v>
      </c>
      <c r="N5" s="16" t="n">
        <v>20.3</v>
      </c>
      <c r="O5" s="17" t="n">
        <v>244</v>
      </c>
      <c r="P5" s="18" t="n">
        <v>487</v>
      </c>
      <c r="Q5" s="19" t="n">
        <v>1071.4</v>
      </c>
      <c r="R5" s="20" t="inlineStr">
        <is>
          <t>97 Kapı/Gün</t>
        </is>
      </c>
    </row>
    <row r="6" ht="20" customHeight="1">
      <c r="A6" s="21" t="inlineStr">
        <is>
          <t>↳ Hat 101</t>
        </is>
      </c>
      <c r="B6" s="22" t="inlineStr">
        <is>
          <t>20:30 / 08:30</t>
        </is>
      </c>
      <c r="C6" s="23" t="n">
        <v>720</v>
      </c>
      <c r="D6" s="24" t="n">
        <v>720</v>
      </c>
      <c r="E6" s="22" t="inlineStr">
        <is>
          <t>—</t>
        </is>
      </c>
      <c r="F6" s="22" t="inlineStr">
        <is>
          <t>—</t>
        </is>
      </c>
      <c r="G6" s="25" t="inlineStr">
        <is>
          <t>—</t>
        </is>
      </c>
      <c r="H6" s="26" t="inlineStr">
        <is>
          <t>35X100 PERVAZ</t>
        </is>
      </c>
      <c r="I6" s="27" t="inlineStr">
        <is>
          <t>Pervaz Profili</t>
        </is>
      </c>
      <c r="J6" s="22" t="inlineStr">
        <is>
          <t>Tek Göz (1 Kafa)</t>
        </is>
      </c>
      <c r="K6" s="14" t="inlineStr">
        <is>
          <t>2.20 Metre</t>
        </is>
      </c>
      <c r="L6" s="27" t="inlineStr">
        <is>
          <t>35 x 100 mm</t>
        </is>
      </c>
      <c r="M6" s="28" t="n">
        <v>2.08</v>
      </c>
      <c r="N6" s="29" t="n">
        <v>21.8</v>
      </c>
      <c r="O6" s="30" t="n">
        <v>262</v>
      </c>
      <c r="P6" s="31" t="n">
        <v>523</v>
      </c>
      <c r="Q6" s="32" t="n">
        <v>1087.8</v>
      </c>
      <c r="R6" s="33" t="inlineStr">
        <is>
          <t>105 Kapı/Gün</t>
        </is>
      </c>
    </row>
    <row r="7" ht="20" customHeight="1">
      <c r="A7" s="34" t="inlineStr">
        <is>
          <t>↳ Hat 101</t>
        </is>
      </c>
      <c r="B7" s="8" t="inlineStr">
        <is>
          <t>—</t>
        </is>
      </c>
      <c r="C7" s="9" t="n">
        <v>720</v>
      </c>
      <c r="D7" s="10" t="n">
        <v>720</v>
      </c>
      <c r="E7" s="8" t="inlineStr">
        <is>
          <t>—</t>
        </is>
      </c>
      <c r="F7" s="8" t="inlineStr">
        <is>
          <t>—</t>
        </is>
      </c>
      <c r="G7" s="35" t="inlineStr">
        <is>
          <t>—</t>
        </is>
      </c>
      <c r="H7" s="7" t="inlineStr">
        <is>
          <t>35X150 PERVAZ</t>
        </is>
      </c>
      <c r="I7" s="13" t="inlineStr">
        <is>
          <t>Pervaz Profili</t>
        </is>
      </c>
      <c r="J7" s="8" t="inlineStr">
        <is>
          <t>Tek Göz (1 Kafa)</t>
        </is>
      </c>
      <c r="K7" s="14" t="inlineStr">
        <is>
          <t>2.20 Metre</t>
        </is>
      </c>
      <c r="L7" s="13" t="inlineStr">
        <is>
          <t>35 x 150 mm</t>
        </is>
      </c>
      <c r="M7" s="15" t="n">
        <v>2.97</v>
      </c>
      <c r="N7" s="16" t="n">
        <v>13.9</v>
      </c>
      <c r="O7" s="17" t="n">
        <v>167</v>
      </c>
      <c r="P7" s="18" t="n">
        <v>334</v>
      </c>
      <c r="Q7" s="19" t="n">
        <v>992</v>
      </c>
      <c r="R7" s="20" t="inlineStr">
        <is>
          <t>67 Kapı/Gün</t>
        </is>
      </c>
    </row>
    <row r="8" ht="20" customHeight="1">
      <c r="A8" s="21" t="inlineStr">
        <is>
          <t>↳ Hat 101</t>
        </is>
      </c>
      <c r="B8" s="22" t="inlineStr">
        <is>
          <t>—</t>
        </is>
      </c>
      <c r="C8" s="23" t="n">
        <v>720</v>
      </c>
      <c r="D8" s="24" t="n">
        <v>720</v>
      </c>
      <c r="E8" s="22" t="inlineStr">
        <is>
          <t>—</t>
        </is>
      </c>
      <c r="F8" s="22" t="inlineStr">
        <is>
          <t>—</t>
        </is>
      </c>
      <c r="G8" s="25" t="inlineStr">
        <is>
          <t>—</t>
        </is>
      </c>
      <c r="H8" s="26" t="inlineStr">
        <is>
          <t>35X80 PERVAZ</t>
        </is>
      </c>
      <c r="I8" s="27" t="inlineStr">
        <is>
          <t>Pervaz Profili</t>
        </is>
      </c>
      <c r="J8" s="22" t="inlineStr">
        <is>
          <t>Tek Göz (1 Kafa)</t>
        </is>
      </c>
      <c r="K8" s="14" t="inlineStr">
        <is>
          <t>2.20 Metre</t>
        </is>
      </c>
      <c r="L8" s="27" t="inlineStr">
        <is>
          <t>35 x 80 mm</t>
        </is>
      </c>
      <c r="M8" s="28" t="n">
        <v>2.94</v>
      </c>
      <c r="N8" s="29" t="n">
        <v>15</v>
      </c>
      <c r="O8" s="30" t="n">
        <v>180</v>
      </c>
      <c r="P8" s="31" t="n">
        <v>360</v>
      </c>
      <c r="Q8" s="32" t="n">
        <v>1058.4</v>
      </c>
      <c r="R8" s="33" t="inlineStr">
        <is>
          <t>72 Kapı/Gün</t>
        </is>
      </c>
    </row>
    <row r="9" ht="20" customHeight="1">
      <c r="A9" s="7" t="inlineStr">
        <is>
          <t>Hat 102</t>
        </is>
      </c>
      <c r="B9" s="8" t="inlineStr">
        <is>
          <t>08:30 / 20:30 (2V)</t>
        </is>
      </c>
      <c r="C9" s="9" t="n">
        <v>720</v>
      </c>
      <c r="D9" s="10" t="n">
        <v>720</v>
      </c>
      <c r="E9" s="11" t="n">
        <v>1</v>
      </c>
      <c r="F9" s="11" t="n">
        <v>1</v>
      </c>
      <c r="G9" s="12" t="inlineStr">
        <is>
          <t>374 Boy / 150 Kapı</t>
        </is>
      </c>
      <c r="H9" s="7" t="inlineStr">
        <is>
          <t>100 mm KASA</t>
        </is>
      </c>
      <c r="I9" s="13" t="inlineStr">
        <is>
          <t>Kasa Profili</t>
        </is>
      </c>
      <c r="J9" s="8" t="inlineStr">
        <is>
          <t>Tek Göz (1 Kafa)</t>
        </is>
      </c>
      <c r="K9" s="14" t="inlineStr">
        <is>
          <t>2.15 Metre</t>
        </is>
      </c>
      <c r="L9" s="13" t="inlineStr">
        <is>
          <t>100 x 36 mm</t>
        </is>
      </c>
      <c r="M9" s="15" t="n">
        <v>4</v>
      </c>
      <c r="N9" s="16" t="n">
        <v>15.6</v>
      </c>
      <c r="O9" s="17" t="n">
        <v>187</v>
      </c>
      <c r="P9" s="18" t="n">
        <v>374</v>
      </c>
      <c r="Q9" s="19" t="n">
        <v>1496</v>
      </c>
      <c r="R9" s="20" t="inlineStr">
        <is>
          <t>150 Kapı/Gün</t>
        </is>
      </c>
    </row>
    <row r="10" ht="20" customHeight="1">
      <c r="A10" s="21" t="inlineStr">
        <is>
          <t>↳ Hat 102</t>
        </is>
      </c>
      <c r="B10" s="22" t="inlineStr">
        <is>
          <t>20:30 / 08:30</t>
        </is>
      </c>
      <c r="C10" s="23" t="n">
        <v>720</v>
      </c>
      <c r="D10" s="24" t="n">
        <v>720</v>
      </c>
      <c r="E10" s="22" t="inlineStr">
        <is>
          <t>—</t>
        </is>
      </c>
      <c r="F10" s="22" t="inlineStr">
        <is>
          <t>—</t>
        </is>
      </c>
      <c r="G10" s="25" t="inlineStr">
        <is>
          <t>—</t>
        </is>
      </c>
      <c r="H10" s="26" t="inlineStr">
        <is>
          <t>140 mm KASA</t>
        </is>
      </c>
      <c r="I10" s="27" t="inlineStr">
        <is>
          <t>Kasa Profili</t>
        </is>
      </c>
      <c r="J10" s="22" t="inlineStr">
        <is>
          <t>Tek Göz (1 Kafa)</t>
        </is>
      </c>
      <c r="K10" s="14" t="inlineStr">
        <is>
          <t>2.15 Metre</t>
        </is>
      </c>
      <c r="L10" s="27" t="inlineStr">
        <is>
          <t>140 x 36 mm</t>
        </is>
      </c>
      <c r="M10" s="28" t="n">
        <v>4.95</v>
      </c>
      <c r="N10" s="29" t="n">
        <v>10.4</v>
      </c>
      <c r="O10" s="30" t="n">
        <v>125</v>
      </c>
      <c r="P10" s="31" t="n">
        <v>250</v>
      </c>
      <c r="Q10" s="32" t="n">
        <v>1237.5</v>
      </c>
      <c r="R10" s="33" t="inlineStr">
        <is>
          <t>100 Kapı/Gün</t>
        </is>
      </c>
    </row>
    <row r="11" ht="20" customHeight="1">
      <c r="A11" s="34" t="inlineStr">
        <is>
          <t>↳ Hat 102</t>
        </is>
      </c>
      <c r="B11" s="8" t="inlineStr">
        <is>
          <t>—</t>
        </is>
      </c>
      <c r="C11" s="9" t="n">
        <v>720</v>
      </c>
      <c r="D11" s="10" t="n">
        <v>720</v>
      </c>
      <c r="E11" s="8" t="inlineStr">
        <is>
          <t>—</t>
        </is>
      </c>
      <c r="F11" s="8" t="inlineStr">
        <is>
          <t>—</t>
        </is>
      </c>
      <c r="G11" s="35" t="inlineStr">
        <is>
          <t>—</t>
        </is>
      </c>
      <c r="H11" s="7" t="inlineStr">
        <is>
          <t>CAM ÇITASI</t>
        </is>
      </c>
      <c r="I11" s="13" t="inlineStr">
        <is>
          <t>Cam Çıtası</t>
        </is>
      </c>
      <c r="J11" s="8" t="inlineStr">
        <is>
          <t>Tek Göz (1 Kafa)</t>
        </is>
      </c>
      <c r="K11" s="14" t="inlineStr">
        <is>
          <t>2.20 Metre</t>
        </is>
      </c>
      <c r="L11" s="13" t="inlineStr">
        <is>
          <t>15 x 20 mm</t>
        </is>
      </c>
      <c r="M11" s="15" t="n">
        <v>1.5</v>
      </c>
      <c r="N11" s="16" t="n">
        <v>33.2</v>
      </c>
      <c r="O11" s="17" t="n">
        <v>398</v>
      </c>
      <c r="P11" s="18" t="n">
        <v>797</v>
      </c>
      <c r="Q11" s="19" t="n">
        <v>1195.5</v>
      </c>
      <c r="R11" s="20" t="inlineStr">
        <is>
          <t>199 Kapı/Gün</t>
        </is>
      </c>
    </row>
    <row r="12" ht="20" customHeight="1">
      <c r="A12" s="21" t="inlineStr">
        <is>
          <t>↳ Hat 102</t>
        </is>
      </c>
      <c r="B12" s="22" t="inlineStr">
        <is>
          <t>—</t>
        </is>
      </c>
      <c r="C12" s="23" t="n">
        <v>720</v>
      </c>
      <c r="D12" s="24" t="n">
        <v>720</v>
      </c>
      <c r="E12" s="22" t="inlineStr">
        <is>
          <t>—</t>
        </is>
      </c>
      <c r="F12" s="22" t="inlineStr">
        <is>
          <t>—</t>
        </is>
      </c>
      <c r="G12" s="25" t="inlineStr">
        <is>
          <t>—</t>
        </is>
      </c>
      <c r="H12" s="26" t="inlineStr">
        <is>
          <t>U KAPAMA</t>
        </is>
      </c>
      <c r="I12" s="27" t="inlineStr">
        <is>
          <t>U Kapama / Lambiri</t>
        </is>
      </c>
      <c r="J12" s="22" t="inlineStr">
        <is>
          <t>Tek Göz (1 Kafa)</t>
        </is>
      </c>
      <c r="K12" s="14" t="inlineStr">
        <is>
          <t>2.20 Metre</t>
        </is>
      </c>
      <c r="L12" s="27" t="inlineStr">
        <is>
          <t>30 x 15 mm</t>
        </is>
      </c>
      <c r="M12" s="28" t="n">
        <v>0.48</v>
      </c>
      <c r="N12" s="29" t="n">
        <v>85.3</v>
      </c>
      <c r="O12" s="30" t="n">
        <v>1024</v>
      </c>
      <c r="P12" s="31" t="n">
        <v>2047</v>
      </c>
      <c r="Q12" s="32" t="n">
        <v>982.6</v>
      </c>
      <c r="R12" s="36" t="inlineStr">
        <is>
          <t>—</t>
        </is>
      </c>
    </row>
    <row r="13" ht="20" customHeight="1">
      <c r="A13" s="7" t="inlineStr">
        <is>
          <t>Hat 103</t>
        </is>
      </c>
      <c r="B13" s="8" t="inlineStr">
        <is>
          <t>08:30 / 20:30 (2V)</t>
        </is>
      </c>
      <c r="C13" s="9" t="n">
        <v>720</v>
      </c>
      <c r="D13" s="10" t="n">
        <v>720</v>
      </c>
      <c r="E13" s="11" t="n">
        <v>1</v>
      </c>
      <c r="F13" s="11" t="n">
        <v>1</v>
      </c>
      <c r="G13" s="12" t="inlineStr">
        <is>
          <t>756 Boy / 151 Kapı</t>
        </is>
      </c>
      <c r="H13" s="7" t="inlineStr">
        <is>
          <t>50X80 PERVAZ</t>
        </is>
      </c>
      <c r="I13" s="13" t="inlineStr">
        <is>
          <t>Pervaz Profili</t>
        </is>
      </c>
      <c r="J13" s="37" t="inlineStr">
        <is>
          <t>Çift Göz (2 Kafa)</t>
        </is>
      </c>
      <c r="K13" s="14" t="inlineStr">
        <is>
          <t>2.20 Metre</t>
        </is>
      </c>
      <c r="L13" s="13" t="inlineStr">
        <is>
          <t>50 x 80 mm</t>
        </is>
      </c>
      <c r="M13" s="15" t="n">
        <v>1.55</v>
      </c>
      <c r="N13" s="16" t="n">
        <v>31.5</v>
      </c>
      <c r="O13" s="17" t="n">
        <v>378</v>
      </c>
      <c r="P13" s="18" t="n">
        <v>756</v>
      </c>
      <c r="Q13" s="19" t="n">
        <v>1171.8</v>
      </c>
      <c r="R13" s="20" t="inlineStr">
        <is>
          <t>151 Kapı/Gün</t>
        </is>
      </c>
    </row>
    <row r="14" ht="20" customHeight="1">
      <c r="A14" s="21" t="inlineStr">
        <is>
          <t>↳ Hat 103</t>
        </is>
      </c>
      <c r="B14" s="22" t="inlineStr">
        <is>
          <t>20:30 / 08:30</t>
        </is>
      </c>
      <c r="C14" s="23" t="n">
        <v>720</v>
      </c>
      <c r="D14" s="24" t="n">
        <v>720</v>
      </c>
      <c r="E14" s="22" t="inlineStr">
        <is>
          <t>—</t>
        </is>
      </c>
      <c r="F14" s="22" t="inlineStr">
        <is>
          <t>—</t>
        </is>
      </c>
      <c r="G14" s="25" t="inlineStr">
        <is>
          <t>—</t>
        </is>
      </c>
      <c r="H14" s="26" t="inlineStr">
        <is>
          <t>SEREN</t>
        </is>
      </c>
      <c r="I14" s="27" t="inlineStr">
        <is>
          <t>Seren Çıtası</t>
        </is>
      </c>
      <c r="J14" s="38" t="inlineStr">
        <is>
          <t>Çift Göz (2 Kafa)</t>
        </is>
      </c>
      <c r="K14" s="14" t="inlineStr">
        <is>
          <t>2.10 Metre</t>
        </is>
      </c>
      <c r="L14" s="27" t="inlineStr">
        <is>
          <t>38 x 45 mm</t>
        </is>
      </c>
      <c r="M14" s="28" t="n">
        <v>3.39</v>
      </c>
      <c r="N14" s="29" t="n">
        <v>37.5</v>
      </c>
      <c r="O14" s="30" t="n">
        <v>450</v>
      </c>
      <c r="P14" s="31" t="n">
        <v>900</v>
      </c>
      <c r="Q14" s="32" t="n">
        <v>3051</v>
      </c>
      <c r="R14" s="33" t="inlineStr">
        <is>
          <t>257 Kapı/Gün</t>
        </is>
      </c>
    </row>
    <row r="15" ht="20" customHeight="1">
      <c r="A15" s="7" t="inlineStr">
        <is>
          <t>Hat 104</t>
        </is>
      </c>
      <c r="B15" s="8" t="inlineStr">
        <is>
          <t>08:30 / 20:30 (2V)</t>
        </is>
      </c>
      <c r="C15" s="9" t="n">
        <v>720</v>
      </c>
      <c r="D15" s="10" t="n">
        <v>720</v>
      </c>
      <c r="E15" s="11" t="n">
        <v>1</v>
      </c>
      <c r="F15" s="11" t="n">
        <v>1</v>
      </c>
      <c r="G15" s="12" t="inlineStr">
        <is>
          <t>677 Boy / 193 Kapı</t>
        </is>
      </c>
      <c r="H15" s="7" t="inlineStr">
        <is>
          <t>SEREN</t>
        </is>
      </c>
      <c r="I15" s="13" t="inlineStr">
        <is>
          <t>Seren Çıtası</t>
        </is>
      </c>
      <c r="J15" s="37" t="inlineStr">
        <is>
          <t>Çift Göz (2 Kafa)</t>
        </is>
      </c>
      <c r="K15" s="14" t="inlineStr">
        <is>
          <t>2.10 Metre</t>
        </is>
      </c>
      <c r="L15" s="13" t="inlineStr">
        <is>
          <t>38 x 45 mm</t>
        </is>
      </c>
      <c r="M15" s="15" t="n">
        <v>3.39</v>
      </c>
      <c r="N15" s="16" t="n">
        <v>28.2</v>
      </c>
      <c r="O15" s="17" t="n">
        <v>338</v>
      </c>
      <c r="P15" s="18" t="n">
        <v>677</v>
      </c>
      <c r="Q15" s="19" t="n">
        <v>2295</v>
      </c>
      <c r="R15" s="20" t="inlineStr">
        <is>
          <t>193 Kapı/Gün</t>
        </is>
      </c>
    </row>
    <row r="16" ht="20" customHeight="1">
      <c r="A16" s="26" t="inlineStr">
        <is>
          <t>Hat 105</t>
        </is>
      </c>
      <c r="B16" s="22" t="inlineStr">
        <is>
          <t>08:30 / 20:30 (2V)</t>
        </is>
      </c>
      <c r="C16" s="23" t="n">
        <v>720</v>
      </c>
      <c r="D16" s="24" t="n">
        <v>720</v>
      </c>
      <c r="E16" s="39" t="n">
        <v>1</v>
      </c>
      <c r="F16" s="39" t="n">
        <v>1</v>
      </c>
      <c r="G16" s="12" t="inlineStr">
        <is>
          <t>641 Boy / 183 Kapı</t>
        </is>
      </c>
      <c r="H16" s="26" t="inlineStr">
        <is>
          <t>SEREN</t>
        </is>
      </c>
      <c r="I16" s="27" t="inlineStr">
        <is>
          <t>Seren Çıtası</t>
        </is>
      </c>
      <c r="J16" s="38" t="inlineStr">
        <is>
          <t>Çift Göz (2 Kafa)</t>
        </is>
      </c>
      <c r="K16" s="14" t="inlineStr">
        <is>
          <t>2.10 Metre</t>
        </is>
      </c>
      <c r="L16" s="27" t="inlineStr">
        <is>
          <t>38 x 45 mm</t>
        </is>
      </c>
      <c r="M16" s="28" t="n">
        <v>3.39</v>
      </c>
      <c r="N16" s="29" t="n">
        <v>26.7</v>
      </c>
      <c r="O16" s="30" t="n">
        <v>320</v>
      </c>
      <c r="P16" s="31" t="n">
        <v>641</v>
      </c>
      <c r="Q16" s="32" t="n">
        <v>2173</v>
      </c>
      <c r="R16" s="33" t="inlineStr">
        <is>
          <t>183 Kapı/Gün</t>
        </is>
      </c>
    </row>
    <row r="17" ht="20" customHeight="1">
      <c r="A17" s="34" t="inlineStr">
        <is>
          <t>↳ Hat 105</t>
        </is>
      </c>
      <c r="B17" s="8" t="inlineStr">
        <is>
          <t>20:30 / 08:30</t>
        </is>
      </c>
      <c r="C17" s="9" t="n">
        <v>720</v>
      </c>
      <c r="D17" s="10" t="n">
        <v>720</v>
      </c>
      <c r="E17" s="8" t="inlineStr">
        <is>
          <t>—</t>
        </is>
      </c>
      <c r="F17" s="8" t="inlineStr">
        <is>
          <t>—</t>
        </is>
      </c>
      <c r="G17" s="35" t="inlineStr">
        <is>
          <t>—</t>
        </is>
      </c>
      <c r="H17" s="7" t="inlineStr">
        <is>
          <t>140 mm KASA</t>
        </is>
      </c>
      <c r="I17" s="13" t="inlineStr">
        <is>
          <t>Kasa Profili</t>
        </is>
      </c>
      <c r="J17" s="8" t="inlineStr">
        <is>
          <t>Tek Göz (1 Kafa)</t>
        </is>
      </c>
      <c r="K17" s="14" t="inlineStr">
        <is>
          <t>2.15 Metre</t>
        </is>
      </c>
      <c r="L17" s="13" t="inlineStr">
        <is>
          <t>140 x 36 mm</t>
        </is>
      </c>
      <c r="M17" s="15" t="n">
        <v>4.95</v>
      </c>
      <c r="N17" s="16" t="n">
        <v>17.4</v>
      </c>
      <c r="O17" s="17" t="n">
        <v>209</v>
      </c>
      <c r="P17" s="18" t="n">
        <v>418</v>
      </c>
      <c r="Q17" s="19" t="n">
        <v>2069.1</v>
      </c>
      <c r="R17" s="20" t="inlineStr">
        <is>
          <t>167 Kapı/Gün</t>
        </is>
      </c>
    </row>
    <row r="18" ht="20" customHeight="1">
      <c r="A18" s="26" t="inlineStr">
        <is>
          <t>Hat 106</t>
        </is>
      </c>
      <c r="B18" s="22" t="inlineStr">
        <is>
          <t>08:30 / 20:30 (2V)</t>
        </is>
      </c>
      <c r="C18" s="23" t="n">
        <v>720</v>
      </c>
      <c r="D18" s="24" t="n">
        <v>720</v>
      </c>
      <c r="E18" s="39" t="n">
        <v>1</v>
      </c>
      <c r="F18" s="39" t="n">
        <v>1</v>
      </c>
      <c r="G18" s="12" t="inlineStr">
        <is>
          <t>336 Boy / 134 Kapı</t>
        </is>
      </c>
      <c r="H18" s="26" t="inlineStr">
        <is>
          <t>140 mm KASA</t>
        </is>
      </c>
      <c r="I18" s="27" t="inlineStr">
        <is>
          <t>Kasa Profili</t>
        </is>
      </c>
      <c r="J18" s="22" t="inlineStr">
        <is>
          <t>Tek Göz (1 Kafa)</t>
        </is>
      </c>
      <c r="K18" s="14" t="inlineStr">
        <is>
          <t>2.15 Metre</t>
        </is>
      </c>
      <c r="L18" s="27" t="inlineStr">
        <is>
          <t>140 x 36 mm</t>
        </is>
      </c>
      <c r="M18" s="28" t="n">
        <v>4.95</v>
      </c>
      <c r="N18" s="29" t="n">
        <v>14</v>
      </c>
      <c r="O18" s="30" t="n">
        <v>168</v>
      </c>
      <c r="P18" s="31" t="n">
        <v>336</v>
      </c>
      <c r="Q18" s="32" t="n">
        <v>1663.2</v>
      </c>
      <c r="R18" s="33" t="inlineStr">
        <is>
          <t>134 Kapı/Gün</t>
        </is>
      </c>
    </row>
    <row r="19" ht="20" customHeight="1">
      <c r="A19" s="34" t="inlineStr">
        <is>
          <t>↳ Hat 106</t>
        </is>
      </c>
      <c r="B19" s="8" t="inlineStr">
        <is>
          <t>20:30 / 08:30</t>
        </is>
      </c>
      <c r="C19" s="9" t="n">
        <v>720</v>
      </c>
      <c r="D19" s="10" t="n">
        <v>720</v>
      </c>
      <c r="E19" s="8" t="inlineStr">
        <is>
          <t>—</t>
        </is>
      </c>
      <c r="F19" s="8" t="inlineStr">
        <is>
          <t>—</t>
        </is>
      </c>
      <c r="G19" s="35" t="inlineStr">
        <is>
          <t>—</t>
        </is>
      </c>
      <c r="H19" s="7" t="inlineStr">
        <is>
          <t>200 mm KASA</t>
        </is>
      </c>
      <c r="I19" s="13" t="inlineStr">
        <is>
          <t>Kasa Profili</t>
        </is>
      </c>
      <c r="J19" s="8" t="inlineStr">
        <is>
          <t>Tek Göz (1 Kafa)</t>
        </is>
      </c>
      <c r="K19" s="14" t="inlineStr">
        <is>
          <t>2.15 Metre</t>
        </is>
      </c>
      <c r="L19" s="13" t="inlineStr">
        <is>
          <t>200 x 36 mm</t>
        </is>
      </c>
      <c r="M19" s="15" t="n">
        <v>6.66</v>
      </c>
      <c r="N19" s="16" t="n">
        <v>20.5</v>
      </c>
      <c r="O19" s="17" t="n">
        <v>246</v>
      </c>
      <c r="P19" s="18" t="n">
        <v>492</v>
      </c>
      <c r="Q19" s="19" t="n">
        <v>3276.7</v>
      </c>
      <c r="R19" s="20" t="inlineStr">
        <is>
          <t>197 Kapı/Gün</t>
        </is>
      </c>
    </row>
    <row r="20" ht="20" customHeight="1">
      <c r="A20" s="21" t="inlineStr">
        <is>
          <t>↳ Hat 106</t>
        </is>
      </c>
      <c r="B20" s="22" t="inlineStr">
        <is>
          <t>—</t>
        </is>
      </c>
      <c r="C20" s="23" t="n">
        <v>720</v>
      </c>
      <c r="D20" s="24" t="n">
        <v>720</v>
      </c>
      <c r="E20" s="22" t="inlineStr">
        <is>
          <t>—</t>
        </is>
      </c>
      <c r="F20" s="22" t="inlineStr">
        <is>
          <t>—</t>
        </is>
      </c>
      <c r="G20" s="25" t="inlineStr">
        <is>
          <t>—</t>
        </is>
      </c>
      <c r="H20" s="26" t="inlineStr">
        <is>
          <t>100 mm KASA</t>
        </is>
      </c>
      <c r="I20" s="27" t="inlineStr">
        <is>
          <t>Kasa Profili</t>
        </is>
      </c>
      <c r="J20" s="22" t="inlineStr">
        <is>
          <t>Tek Göz (1 Kafa)</t>
        </is>
      </c>
      <c r="K20" s="14" t="inlineStr">
        <is>
          <t>2.15 Metre</t>
        </is>
      </c>
      <c r="L20" s="27" t="inlineStr">
        <is>
          <t>100 x 36 mm</t>
        </is>
      </c>
      <c r="M20" s="28" t="n">
        <v>4</v>
      </c>
      <c r="N20" s="29" t="n">
        <v>13.5</v>
      </c>
      <c r="O20" s="30" t="n">
        <v>162</v>
      </c>
      <c r="P20" s="31" t="n">
        <v>324</v>
      </c>
      <c r="Q20" s="32" t="n">
        <v>1296</v>
      </c>
      <c r="R20" s="33" t="inlineStr">
        <is>
          <t>130 Kapı/Gün</t>
        </is>
      </c>
    </row>
    <row r="21" ht="20" customHeight="1">
      <c r="A21" s="7" t="inlineStr">
        <is>
          <t>Hat 107</t>
        </is>
      </c>
      <c r="B21" s="8" t="inlineStr">
        <is>
          <t>08:30 / 20:30 (2V)</t>
        </is>
      </c>
      <c r="C21" s="9" t="n">
        <v>720</v>
      </c>
      <c r="D21" s="10" t="n">
        <v>720</v>
      </c>
      <c r="E21" s="11" t="n">
        <v>1</v>
      </c>
      <c r="F21" s="11" t="n">
        <v>1</v>
      </c>
      <c r="G21" s="12" t="inlineStr">
        <is>
          <t>300 Boy / 120 Kapı</t>
        </is>
      </c>
      <c r="H21" s="7" t="inlineStr">
        <is>
          <t>200 mm KASA</t>
        </is>
      </c>
      <c r="I21" s="13" t="inlineStr">
        <is>
          <t>Kasa Profili</t>
        </is>
      </c>
      <c r="J21" s="8" t="inlineStr">
        <is>
          <t>Tek Göz (1 Kafa)</t>
        </is>
      </c>
      <c r="K21" s="14" t="inlineStr">
        <is>
          <t>2.15 Metre</t>
        </is>
      </c>
      <c r="L21" s="13" t="inlineStr">
        <is>
          <t>200 x 36 mm</t>
        </is>
      </c>
      <c r="M21" s="15" t="n">
        <v>6.66</v>
      </c>
      <c r="N21" s="16" t="n">
        <v>12.5</v>
      </c>
      <c r="O21" s="17" t="n">
        <v>150</v>
      </c>
      <c r="P21" s="18" t="n">
        <v>300</v>
      </c>
      <c r="Q21" s="19" t="n">
        <v>1998</v>
      </c>
      <c r="R21" s="20" t="inlineStr">
        <is>
          <t>120 Kapı/Gün</t>
        </is>
      </c>
    </row>
    <row r="22" ht="20" customHeight="1">
      <c r="A22" s="21" t="inlineStr">
        <is>
          <t>↳ Hat 107</t>
        </is>
      </c>
      <c r="B22" s="22" t="inlineStr">
        <is>
          <t>20:30 / 08:30</t>
        </is>
      </c>
      <c r="C22" s="23" t="n">
        <v>720</v>
      </c>
      <c r="D22" s="24" t="n">
        <v>720</v>
      </c>
      <c r="E22" s="22" t="inlineStr">
        <is>
          <t>—</t>
        </is>
      </c>
      <c r="F22" s="22" t="inlineStr">
        <is>
          <t>—</t>
        </is>
      </c>
      <c r="G22" s="25" t="inlineStr">
        <is>
          <t>—</t>
        </is>
      </c>
      <c r="H22" s="26" t="inlineStr">
        <is>
          <t>SEREN(39mm)</t>
        </is>
      </c>
      <c r="I22" s="27" t="inlineStr">
        <is>
          <t>Seren Çıtası</t>
        </is>
      </c>
      <c r="J22" s="22" t="inlineStr">
        <is>
          <t>Tek Göz (Hızlı 1.3 m/dk)</t>
        </is>
      </c>
      <c r="K22" s="14" t="inlineStr">
        <is>
          <t>2.10 Metre</t>
        </is>
      </c>
      <c r="L22" s="27" t="inlineStr">
        <is>
          <t>39 x 45 mm</t>
        </is>
      </c>
      <c r="M22" s="28" t="n">
        <v>3.81</v>
      </c>
      <c r="N22" s="29" t="n">
        <v>27.9</v>
      </c>
      <c r="O22" s="30" t="n">
        <v>335</v>
      </c>
      <c r="P22" s="31" t="n">
        <v>670</v>
      </c>
      <c r="Q22" s="32" t="n">
        <v>2552.7</v>
      </c>
      <c r="R22" s="33" t="inlineStr">
        <is>
          <t>191 Kapı/Gün</t>
        </is>
      </c>
    </row>
    <row r="23" ht="20" customHeight="1">
      <c r="A23" s="34" t="inlineStr">
        <is>
          <t>↳ Hat 107</t>
        </is>
      </c>
      <c r="B23" s="8" t="inlineStr">
        <is>
          <t>—</t>
        </is>
      </c>
      <c r="C23" s="9" t="n">
        <v>720</v>
      </c>
      <c r="D23" s="10" t="n">
        <v>720</v>
      </c>
      <c r="E23" s="8" t="inlineStr">
        <is>
          <t>—</t>
        </is>
      </c>
      <c r="F23" s="8" t="inlineStr">
        <is>
          <t>—</t>
        </is>
      </c>
      <c r="G23" s="35" t="inlineStr">
        <is>
          <t>—</t>
        </is>
      </c>
      <c r="H23" s="7" t="inlineStr">
        <is>
          <t>KT100-220x24-ANT</t>
        </is>
      </c>
      <c r="I23" s="13" t="inlineStr">
        <is>
          <t>Deck / WPC Zemin</t>
        </is>
      </c>
      <c r="J23" s="8" t="inlineStr">
        <is>
          <t>Tek Göz (1 Kafa)</t>
        </is>
      </c>
      <c r="K23" s="14" t="inlineStr">
        <is>
          <t>3.00 Metre</t>
        </is>
      </c>
      <c r="L23" s="13" t="inlineStr">
        <is>
          <t>220 x 24 mm</t>
        </is>
      </c>
      <c r="M23" s="15" t="n">
        <v>10.33</v>
      </c>
      <c r="N23" s="16" t="n">
        <v>8.199999999999999</v>
      </c>
      <c r="O23" s="17" t="n">
        <v>98</v>
      </c>
      <c r="P23" s="18" t="n">
        <v>197</v>
      </c>
      <c r="Q23" s="19" t="n">
        <v>2035</v>
      </c>
      <c r="R23" s="40" t="inlineStr">
        <is>
          <t>—</t>
        </is>
      </c>
    </row>
    <row r="24" ht="20" customHeight="1">
      <c r="A24" s="21" t="inlineStr">
        <is>
          <t>↳ Hat 107</t>
        </is>
      </c>
      <c r="B24" s="22" t="inlineStr">
        <is>
          <t>—</t>
        </is>
      </c>
      <c r="C24" s="23" t="n">
        <v>720</v>
      </c>
      <c r="D24" s="24" t="n">
        <v>720</v>
      </c>
      <c r="E24" s="22" t="inlineStr">
        <is>
          <t>—</t>
        </is>
      </c>
      <c r="F24" s="22" t="inlineStr">
        <is>
          <t>—</t>
        </is>
      </c>
      <c r="G24" s="25" t="inlineStr">
        <is>
          <t>—</t>
        </is>
      </c>
      <c r="H24" s="26" t="inlineStr">
        <is>
          <t>KT102-219x26-ANT</t>
        </is>
      </c>
      <c r="I24" s="27" t="inlineStr">
        <is>
          <t>Deck / WPC Zemin</t>
        </is>
      </c>
      <c r="J24" s="22" t="inlineStr">
        <is>
          <t>Tek Göz (1 Kafa)</t>
        </is>
      </c>
      <c r="K24" s="14" t="inlineStr">
        <is>
          <t>3.00 Metre</t>
        </is>
      </c>
      <c r="L24" s="27" t="inlineStr">
        <is>
          <t>219 x 26 mm</t>
        </is>
      </c>
      <c r="M24" s="28" t="n">
        <v>10.52</v>
      </c>
      <c r="N24" s="29" t="n">
        <v>10.3</v>
      </c>
      <c r="O24" s="30" t="n">
        <v>124</v>
      </c>
      <c r="P24" s="31" t="n">
        <v>247</v>
      </c>
      <c r="Q24" s="32" t="n">
        <v>2598.4</v>
      </c>
      <c r="R24" s="36" t="inlineStr">
        <is>
          <t>—</t>
        </is>
      </c>
    </row>
    <row r="25" ht="20" customHeight="1">
      <c r="A25" s="34" t="inlineStr">
        <is>
          <t>↳ Hat 107</t>
        </is>
      </c>
      <c r="B25" s="8" t="inlineStr">
        <is>
          <t>—</t>
        </is>
      </c>
      <c r="C25" s="9" t="n">
        <v>720</v>
      </c>
      <c r="D25" s="10" t="n">
        <v>720</v>
      </c>
      <c r="E25" s="8" t="inlineStr">
        <is>
          <t>—</t>
        </is>
      </c>
      <c r="F25" s="8" t="inlineStr">
        <is>
          <t>—</t>
        </is>
      </c>
      <c r="G25" s="35" t="inlineStr">
        <is>
          <t>—</t>
        </is>
      </c>
      <c r="H25" s="7" t="inlineStr">
        <is>
          <t>SEREN</t>
        </is>
      </c>
      <c r="I25" s="13" t="inlineStr">
        <is>
          <t>Seren Çıtası</t>
        </is>
      </c>
      <c r="J25" s="8" t="inlineStr">
        <is>
          <t>Tek Göz (1 Kafa)</t>
        </is>
      </c>
      <c r="K25" s="14" t="inlineStr">
        <is>
          <t>2.10 Metre</t>
        </is>
      </c>
      <c r="L25" s="13" t="inlineStr">
        <is>
          <t>38 x 45 mm</t>
        </is>
      </c>
      <c r="M25" s="15" t="n">
        <v>3.39</v>
      </c>
      <c r="N25" s="16" t="n">
        <v>20.6</v>
      </c>
      <c r="O25" s="17" t="n">
        <v>247</v>
      </c>
      <c r="P25" s="18" t="n">
        <v>494</v>
      </c>
      <c r="Q25" s="19" t="n">
        <v>1674.7</v>
      </c>
      <c r="R25" s="20" t="inlineStr">
        <is>
          <t>141 Kapı/Gün</t>
        </is>
      </c>
    </row>
    <row r="26" ht="20" customHeight="1">
      <c r="A26" s="26" t="inlineStr">
        <is>
          <t>Hat 108</t>
        </is>
      </c>
      <c r="B26" s="22" t="inlineStr">
        <is>
          <t>08:30 / 20:30 (2V)</t>
        </is>
      </c>
      <c r="C26" s="23" t="n">
        <v>720</v>
      </c>
      <c r="D26" s="24" t="n">
        <v>720</v>
      </c>
      <c r="E26" s="39" t="n">
        <v>1</v>
      </c>
      <c r="F26" s="39" t="n">
        <v>1</v>
      </c>
      <c r="G26" s="12" t="inlineStr">
        <is>
          <t>413 Boy / 165 Kapı</t>
        </is>
      </c>
      <c r="H26" s="26" t="inlineStr">
        <is>
          <t>100 mm KASA</t>
        </is>
      </c>
      <c r="I26" s="27" t="inlineStr">
        <is>
          <t>Kasa Profili</t>
        </is>
      </c>
      <c r="J26" s="22" t="inlineStr">
        <is>
          <t>Tek Göz (1 Kafa)</t>
        </is>
      </c>
      <c r="K26" s="14" t="inlineStr">
        <is>
          <t>2.15 Metre</t>
        </is>
      </c>
      <c r="L26" s="27" t="inlineStr">
        <is>
          <t>100 x 36 mm</t>
        </is>
      </c>
      <c r="M26" s="28" t="n">
        <v>4</v>
      </c>
      <c r="N26" s="29" t="n">
        <v>17.2</v>
      </c>
      <c r="O26" s="30" t="n">
        <v>206</v>
      </c>
      <c r="P26" s="31" t="n">
        <v>413</v>
      </c>
      <c r="Q26" s="32" t="n">
        <v>1652</v>
      </c>
      <c r="R26" s="33" t="inlineStr">
        <is>
          <t>165 Kapı/Gün</t>
        </is>
      </c>
    </row>
    <row r="27" ht="20" customHeight="1">
      <c r="A27" s="34" t="inlineStr">
        <is>
          <t>↳ Hat 108</t>
        </is>
      </c>
      <c r="B27" s="8" t="inlineStr">
        <is>
          <t>20:30 / 08:30</t>
        </is>
      </c>
      <c r="C27" s="9" t="n">
        <v>720</v>
      </c>
      <c r="D27" s="10" t="n">
        <v>720</v>
      </c>
      <c r="E27" s="8" t="inlineStr">
        <is>
          <t>—</t>
        </is>
      </c>
      <c r="F27" s="8" t="inlineStr">
        <is>
          <t>—</t>
        </is>
      </c>
      <c r="G27" s="35" t="inlineStr">
        <is>
          <t>—</t>
        </is>
      </c>
      <c r="H27" s="7" t="inlineStr">
        <is>
          <t>140 mm KASA</t>
        </is>
      </c>
      <c r="I27" s="13" t="inlineStr">
        <is>
          <t>Kasa Profili</t>
        </is>
      </c>
      <c r="J27" s="8" t="inlineStr">
        <is>
          <t>Tek Göz (1 Kafa)</t>
        </is>
      </c>
      <c r="K27" s="14" t="inlineStr">
        <is>
          <t>2.15 Metre</t>
        </is>
      </c>
      <c r="L27" s="13" t="inlineStr">
        <is>
          <t>140 x 36 mm</t>
        </is>
      </c>
      <c r="M27" s="15" t="n">
        <v>4.95</v>
      </c>
      <c r="N27" s="16" t="n">
        <v>14.7</v>
      </c>
      <c r="O27" s="17" t="n">
        <v>176</v>
      </c>
      <c r="P27" s="18" t="n">
        <v>353</v>
      </c>
      <c r="Q27" s="19" t="n">
        <v>1747.4</v>
      </c>
      <c r="R27" s="20" t="inlineStr">
        <is>
          <t>141 Kapı/Gün</t>
        </is>
      </c>
    </row>
    <row r="28" ht="20" customHeight="1">
      <c r="A28" s="26" t="inlineStr">
        <is>
          <t>Hat 109</t>
        </is>
      </c>
      <c r="B28" s="22" t="inlineStr">
        <is>
          <t>08:30 / 20:30 (2V)</t>
        </is>
      </c>
      <c r="C28" s="23" t="n">
        <v>720</v>
      </c>
      <c r="D28" s="24" t="n">
        <v>720</v>
      </c>
      <c r="E28" s="39" t="n">
        <v>1</v>
      </c>
      <c r="F28" s="39" t="n">
        <v>1</v>
      </c>
      <c r="G28" s="12" t="inlineStr">
        <is>
          <t>1.169 Boy / 234 Kapı</t>
        </is>
      </c>
      <c r="H28" s="26" t="inlineStr">
        <is>
          <t>50X80 PERVAZ</t>
        </is>
      </c>
      <c r="I28" s="27" t="inlineStr">
        <is>
          <t>Pervaz Profili</t>
        </is>
      </c>
      <c r="J28" s="38" t="inlineStr">
        <is>
          <t>Çift Göz (2 Kafa)</t>
        </is>
      </c>
      <c r="K28" s="14" t="inlineStr">
        <is>
          <t>2.20 Metre</t>
        </is>
      </c>
      <c r="L28" s="27" t="inlineStr">
        <is>
          <t>50 x 80 mm</t>
        </is>
      </c>
      <c r="M28" s="28" t="n">
        <v>1.55</v>
      </c>
      <c r="N28" s="29" t="n">
        <v>48.7</v>
      </c>
      <c r="O28" s="30" t="n">
        <v>584</v>
      </c>
      <c r="P28" s="31" t="n">
        <v>1169</v>
      </c>
      <c r="Q28" s="32" t="n">
        <v>1812</v>
      </c>
      <c r="R28" s="33" t="inlineStr">
        <is>
          <t>234 Kapı/Gün</t>
        </is>
      </c>
    </row>
    <row r="29" ht="20" customHeight="1">
      <c r="A29" s="34" t="inlineStr">
        <is>
          <t>↳ Hat 109</t>
        </is>
      </c>
      <c r="B29" s="8" t="inlineStr">
        <is>
          <t>20:30 / 08:30</t>
        </is>
      </c>
      <c r="C29" s="9" t="n">
        <v>720</v>
      </c>
      <c r="D29" s="10" t="n">
        <v>720</v>
      </c>
      <c r="E29" s="8" t="inlineStr">
        <is>
          <t>—</t>
        </is>
      </c>
      <c r="F29" s="8" t="inlineStr">
        <is>
          <t>—</t>
        </is>
      </c>
      <c r="G29" s="35" t="inlineStr">
        <is>
          <t>—</t>
        </is>
      </c>
      <c r="H29" s="7" t="inlineStr">
        <is>
          <t>80X80 PERVAZ</t>
        </is>
      </c>
      <c r="I29" s="13" t="inlineStr">
        <is>
          <t>Pervaz Profili</t>
        </is>
      </c>
      <c r="J29" s="37" t="inlineStr">
        <is>
          <t>Çift Göz (2 Kafa)</t>
        </is>
      </c>
      <c r="K29" s="14" t="inlineStr">
        <is>
          <t>2.20 Metre</t>
        </is>
      </c>
      <c r="L29" s="13" t="inlineStr">
        <is>
          <t>80 x 80 mm</t>
        </is>
      </c>
      <c r="M29" s="15" t="n">
        <v>2.2</v>
      </c>
      <c r="N29" s="16" t="n">
        <v>57.5</v>
      </c>
      <c r="O29" s="17" t="n">
        <v>690</v>
      </c>
      <c r="P29" s="18" t="n">
        <v>1380</v>
      </c>
      <c r="Q29" s="19" t="n">
        <v>3036</v>
      </c>
      <c r="R29" s="20" t="inlineStr">
        <is>
          <t>276 Kapı/Gün</t>
        </is>
      </c>
    </row>
    <row r="30" ht="20" customHeight="1">
      <c r="A30" s="26" t="inlineStr">
        <is>
          <t>Hat 201 (Levha)</t>
        </is>
      </c>
      <c r="B30" s="22" t="inlineStr">
        <is>
          <t>08:30 / 20:30 (2V)</t>
        </is>
      </c>
      <c r="C30" s="23" t="n">
        <v>720</v>
      </c>
      <c r="D30" s="24" t="n">
        <v>720</v>
      </c>
      <c r="E30" s="39" t="n">
        <v>2</v>
      </c>
      <c r="F30" s="39" t="n">
        <v>2</v>
      </c>
      <c r="G30" s="12" t="inlineStr">
        <is>
          <t>1.025 Plaka / 513 Kapı</t>
        </is>
      </c>
      <c r="H30" s="26" t="inlineStr">
        <is>
          <t>DIŞBUDAK Levha</t>
        </is>
      </c>
      <c r="I30" s="27" t="inlineStr">
        <is>
          <t>WPC Levha Plaka</t>
        </is>
      </c>
      <c r="J30" s="22" t="inlineStr">
        <is>
          <t>Tek Göz (Levha Kalıbı)</t>
        </is>
      </c>
      <c r="K30" s="14" t="inlineStr">
        <is>
          <t>207 cm (2.07 m)</t>
        </is>
      </c>
      <c r="L30" s="27" t="inlineStr">
        <is>
          <t>En: 94 cm (2 mm)</t>
        </is>
      </c>
      <c r="M30" s="28" t="n">
        <v>4.77</v>
      </c>
      <c r="N30" s="41" t="n">
        <v>42.7</v>
      </c>
      <c r="O30" s="42" t="n">
        <v>512</v>
      </c>
      <c r="P30" s="43" t="n">
        <v>1025</v>
      </c>
      <c r="Q30" s="32" t="n">
        <v>4889.2</v>
      </c>
      <c r="R30" s="33" t="inlineStr">
        <is>
          <t>512 Kapı/Gün</t>
        </is>
      </c>
    </row>
    <row r="31" ht="20" customHeight="1">
      <c r="A31" s="34" t="inlineStr">
        <is>
          <t>↳ Hat 201 (Levha)</t>
        </is>
      </c>
      <c r="B31" s="8" t="inlineStr">
        <is>
          <t>20:30 / 08:30</t>
        </is>
      </c>
      <c r="C31" s="9" t="n">
        <v>720</v>
      </c>
      <c r="D31" s="10" t="n">
        <v>720</v>
      </c>
      <c r="E31" s="8" t="inlineStr">
        <is>
          <t>—</t>
        </is>
      </c>
      <c r="F31" s="8" t="inlineStr">
        <is>
          <t>—</t>
        </is>
      </c>
      <c r="G31" s="35" t="inlineStr">
        <is>
          <t>—</t>
        </is>
      </c>
      <c r="H31" s="7" t="inlineStr">
        <is>
          <t>TEAK Levha</t>
        </is>
      </c>
      <c r="I31" s="13" t="inlineStr">
        <is>
          <t>WPC Levha Plaka</t>
        </is>
      </c>
      <c r="J31" s="8" t="inlineStr">
        <is>
          <t>Tek Göz (Levha Kalıbı)</t>
        </is>
      </c>
      <c r="K31" s="14" t="inlineStr">
        <is>
          <t>207 cm (2.07 m)</t>
        </is>
      </c>
      <c r="L31" s="13" t="inlineStr">
        <is>
          <t>En: 94 cm (2 mm)</t>
        </is>
      </c>
      <c r="M31" s="15" t="n">
        <v>4.25</v>
      </c>
      <c r="N31" s="44" t="n">
        <v>38.6</v>
      </c>
      <c r="O31" s="45" t="n">
        <v>463</v>
      </c>
      <c r="P31" s="46" t="n">
        <v>926</v>
      </c>
      <c r="Q31" s="19" t="n">
        <v>3935.5</v>
      </c>
      <c r="R31" s="20" t="inlineStr">
        <is>
          <t>463 Kapı/Gün</t>
        </is>
      </c>
    </row>
    <row r="32" ht="20" customHeight="1">
      <c r="A32" s="21" t="inlineStr">
        <is>
          <t>↳ Hat 201 (Levha)</t>
        </is>
      </c>
      <c r="B32" s="22" t="inlineStr">
        <is>
          <t>—</t>
        </is>
      </c>
      <c r="C32" s="23" t="n">
        <v>720</v>
      </c>
      <c r="D32" s="24" t="n">
        <v>720</v>
      </c>
      <c r="E32" s="22" t="inlineStr">
        <is>
          <t>—</t>
        </is>
      </c>
      <c r="F32" s="22" t="inlineStr">
        <is>
          <t>—</t>
        </is>
      </c>
      <c r="G32" s="25" t="inlineStr">
        <is>
          <t>—</t>
        </is>
      </c>
      <c r="H32" s="26" t="inlineStr">
        <is>
          <t>MIX TEAK Levha</t>
        </is>
      </c>
      <c r="I32" s="27" t="inlineStr">
        <is>
          <t>WPC Levha Plaka</t>
        </is>
      </c>
      <c r="J32" s="22" t="inlineStr">
        <is>
          <t>Tek Göz (Levha Kalıbı)</t>
        </is>
      </c>
      <c r="K32" s="14" t="inlineStr">
        <is>
          <t>207 cm (2.07 m)</t>
        </is>
      </c>
      <c r="L32" s="27" t="inlineStr">
        <is>
          <t>En: 94 cm (2 mm)</t>
        </is>
      </c>
      <c r="M32" s="28" t="n">
        <v>4.25</v>
      </c>
      <c r="N32" s="41" t="n">
        <v>40.1</v>
      </c>
      <c r="O32" s="42" t="n">
        <v>481</v>
      </c>
      <c r="P32" s="43" t="n">
        <v>962</v>
      </c>
      <c r="Q32" s="32" t="n">
        <v>4088.5</v>
      </c>
      <c r="R32" s="33" t="inlineStr">
        <is>
          <t>481 Kapı/Gün</t>
        </is>
      </c>
    </row>
    <row r="33" ht="20" customHeight="1">
      <c r="A33" s="34" t="inlineStr">
        <is>
          <t>↳ Hat 201 (Levha)</t>
        </is>
      </c>
      <c r="B33" s="8" t="inlineStr">
        <is>
          <t>—</t>
        </is>
      </c>
      <c r="C33" s="9" t="n">
        <v>720</v>
      </c>
      <c r="D33" s="10" t="n">
        <v>720</v>
      </c>
      <c r="E33" s="8" t="inlineStr">
        <is>
          <t>—</t>
        </is>
      </c>
      <c r="F33" s="8" t="inlineStr">
        <is>
          <t>—</t>
        </is>
      </c>
      <c r="G33" s="35" t="inlineStr">
        <is>
          <t>—</t>
        </is>
      </c>
      <c r="H33" s="7" t="inlineStr">
        <is>
          <t>BEYAZ TEAK Levha</t>
        </is>
      </c>
      <c r="I33" s="13" t="inlineStr">
        <is>
          <t>WPC Levha Plaka</t>
        </is>
      </c>
      <c r="J33" s="8" t="inlineStr">
        <is>
          <t>Tek Göz (Levha Kalıbı)</t>
        </is>
      </c>
      <c r="K33" s="14" t="inlineStr">
        <is>
          <t>207 cm (2.07 m)</t>
        </is>
      </c>
      <c r="L33" s="13" t="inlineStr">
        <is>
          <t>En: 94 cm (2 mm)</t>
        </is>
      </c>
      <c r="M33" s="15" t="n">
        <v>4.41</v>
      </c>
      <c r="N33" s="44" t="n">
        <v>40.6</v>
      </c>
      <c r="O33" s="45" t="n">
        <v>487</v>
      </c>
      <c r="P33" s="46" t="n">
        <v>974</v>
      </c>
      <c r="Q33" s="19" t="n">
        <v>4295.3</v>
      </c>
      <c r="R33" s="20" t="inlineStr">
        <is>
          <t>487 Kapı/Gün</t>
        </is>
      </c>
    </row>
    <row r="34" ht="20" customHeight="1">
      <c r="A34" s="21" t="inlineStr">
        <is>
          <t>↳ Hat 201 (Levha)</t>
        </is>
      </c>
      <c r="B34" s="22" t="inlineStr">
        <is>
          <t>—</t>
        </is>
      </c>
      <c r="C34" s="23" t="n">
        <v>720</v>
      </c>
      <c r="D34" s="24" t="n">
        <v>720</v>
      </c>
      <c r="E34" s="22" t="inlineStr">
        <is>
          <t>—</t>
        </is>
      </c>
      <c r="F34" s="22" t="inlineStr">
        <is>
          <t>—</t>
        </is>
      </c>
      <c r="G34" s="25" t="inlineStr">
        <is>
          <t>—</t>
        </is>
      </c>
      <c r="H34" s="26" t="inlineStr">
        <is>
          <t>MIX BEYAZ TEAK Levha</t>
        </is>
      </c>
      <c r="I34" s="27" t="inlineStr">
        <is>
          <t>WPC Levha Plaka</t>
        </is>
      </c>
      <c r="J34" s="22" t="inlineStr">
        <is>
          <t>Tek Göz (Levha Kalıbı)</t>
        </is>
      </c>
      <c r="K34" s="14" t="inlineStr">
        <is>
          <t>207 cm (2.07 m)</t>
        </is>
      </c>
      <c r="L34" s="27" t="inlineStr">
        <is>
          <t>En: 94 cm (2 mm)</t>
        </is>
      </c>
      <c r="M34" s="28" t="n">
        <v>4.25</v>
      </c>
      <c r="N34" s="41" t="n">
        <v>44.1</v>
      </c>
      <c r="O34" s="42" t="n">
        <v>529</v>
      </c>
      <c r="P34" s="43" t="n">
        <v>1058</v>
      </c>
      <c r="Q34" s="32" t="n">
        <v>4496.5</v>
      </c>
      <c r="R34" s="33" t="inlineStr">
        <is>
          <t>529 Kapı/Gün</t>
        </is>
      </c>
    </row>
    <row r="35" ht="20" customHeight="1">
      <c r="A35" s="34" t="inlineStr">
        <is>
          <t>↳ Hat 201 (Levha)</t>
        </is>
      </c>
      <c r="B35" s="8" t="inlineStr">
        <is>
          <t>—</t>
        </is>
      </c>
      <c r="C35" s="9" t="n">
        <v>720</v>
      </c>
      <c r="D35" s="10" t="n">
        <v>720</v>
      </c>
      <c r="E35" s="8" t="inlineStr">
        <is>
          <t>—</t>
        </is>
      </c>
      <c r="F35" s="8" t="inlineStr">
        <is>
          <t>—</t>
        </is>
      </c>
      <c r="G35" s="35" t="inlineStr">
        <is>
          <t>—</t>
        </is>
      </c>
      <c r="H35" s="7" t="inlineStr">
        <is>
          <t>AY GRİ Levha</t>
        </is>
      </c>
      <c r="I35" s="13" t="inlineStr">
        <is>
          <t>WPC Levha Plaka</t>
        </is>
      </c>
      <c r="J35" s="8" t="inlineStr">
        <is>
          <t>Tek Göz (Levha Kalıbı)</t>
        </is>
      </c>
      <c r="K35" s="14" t="inlineStr">
        <is>
          <t>207 cm (2.07 m)</t>
        </is>
      </c>
      <c r="L35" s="13" t="inlineStr">
        <is>
          <t>En: 94 cm (2 mm)</t>
        </is>
      </c>
      <c r="M35" s="15" t="n">
        <v>4.64</v>
      </c>
      <c r="N35" s="44" t="n">
        <v>40</v>
      </c>
      <c r="O35" s="45" t="n">
        <v>480</v>
      </c>
      <c r="P35" s="46" t="n">
        <v>960</v>
      </c>
      <c r="Q35" s="19" t="n">
        <v>4454.4</v>
      </c>
      <c r="R35" s="20" t="inlineStr">
        <is>
          <t>480 Kapı/Gün</t>
        </is>
      </c>
    </row>
    <row r="36" ht="20" customHeight="1">
      <c r="A36" s="21" t="inlineStr">
        <is>
          <t>↳ Hat 201 (Levha)</t>
        </is>
      </c>
      <c r="B36" s="22" t="inlineStr">
        <is>
          <t>—</t>
        </is>
      </c>
      <c r="C36" s="23" t="n">
        <v>720</v>
      </c>
      <c r="D36" s="24" t="n">
        <v>720</v>
      </c>
      <c r="E36" s="22" t="inlineStr">
        <is>
          <t>—</t>
        </is>
      </c>
      <c r="F36" s="22" t="inlineStr">
        <is>
          <t>—</t>
        </is>
      </c>
      <c r="G36" s="25" t="inlineStr">
        <is>
          <t>—</t>
        </is>
      </c>
      <c r="H36" s="26" t="inlineStr">
        <is>
          <t>SONOMO Levha</t>
        </is>
      </c>
      <c r="I36" s="27" t="inlineStr">
        <is>
          <t>WPC Levha Plaka</t>
        </is>
      </c>
      <c r="J36" s="22" t="inlineStr">
        <is>
          <t>Tek Göz (Levha Kalıbı)</t>
        </is>
      </c>
      <c r="K36" s="14" t="inlineStr">
        <is>
          <t>207 cm (2.07 m)</t>
        </is>
      </c>
      <c r="L36" s="27" t="inlineStr">
        <is>
          <t>En: 94 cm (2 mm)</t>
        </is>
      </c>
      <c r="M36" s="28" t="n">
        <v>4.33</v>
      </c>
      <c r="N36" s="41" t="n">
        <v>38.4</v>
      </c>
      <c r="O36" s="42" t="n">
        <v>461</v>
      </c>
      <c r="P36" s="43" t="n">
        <v>922</v>
      </c>
      <c r="Q36" s="32" t="n">
        <v>3992.3</v>
      </c>
      <c r="R36" s="33" t="inlineStr">
        <is>
          <t>461 Kapı/Gün</t>
        </is>
      </c>
    </row>
    <row r="37" ht="20" customHeight="1">
      <c r="A37" s="34" t="inlineStr">
        <is>
          <t>↳ Hat 201 (Levha)</t>
        </is>
      </c>
      <c r="B37" s="8" t="inlineStr">
        <is>
          <t>—</t>
        </is>
      </c>
      <c r="C37" s="9" t="n">
        <v>720</v>
      </c>
      <c r="D37" s="10" t="n">
        <v>720</v>
      </c>
      <c r="E37" s="8" t="inlineStr">
        <is>
          <t>—</t>
        </is>
      </c>
      <c r="F37" s="8" t="inlineStr">
        <is>
          <t>—</t>
        </is>
      </c>
      <c r="G37" s="35" t="inlineStr">
        <is>
          <t>—</t>
        </is>
      </c>
      <c r="H37" s="7" t="inlineStr">
        <is>
          <t>COCO Levha</t>
        </is>
      </c>
      <c r="I37" s="13" t="inlineStr">
        <is>
          <t>WPC Levha Plaka</t>
        </is>
      </c>
      <c r="J37" s="8" t="inlineStr">
        <is>
          <t>Tek Göz (Levha Kalıbı)</t>
        </is>
      </c>
      <c r="K37" s="14" t="inlineStr">
        <is>
          <t>207 cm (2.07 m)</t>
        </is>
      </c>
      <c r="L37" s="13" t="inlineStr">
        <is>
          <t>En: 94 cm (2 mm)</t>
        </is>
      </c>
      <c r="M37" s="15" t="n">
        <v>4.79</v>
      </c>
      <c r="N37" s="44" t="n">
        <v>41.4</v>
      </c>
      <c r="O37" s="45" t="n">
        <v>497</v>
      </c>
      <c r="P37" s="46" t="n">
        <v>994</v>
      </c>
      <c r="Q37" s="19" t="n">
        <v>4761.3</v>
      </c>
      <c r="R37" s="20" t="inlineStr">
        <is>
          <t>497 Kapı/Gün</t>
        </is>
      </c>
    </row>
    <row r="38" ht="20" customHeight="1">
      <c r="A38" s="21" t="inlineStr">
        <is>
          <t>↳ Hat 201 (Levha)</t>
        </is>
      </c>
      <c r="B38" s="22" t="inlineStr">
        <is>
          <t>—</t>
        </is>
      </c>
      <c r="C38" s="23" t="n">
        <v>720</v>
      </c>
      <c r="D38" s="24" t="n">
        <v>720</v>
      </c>
      <c r="E38" s="22" t="inlineStr">
        <is>
          <t>—</t>
        </is>
      </c>
      <c r="F38" s="22" t="inlineStr">
        <is>
          <t>—</t>
        </is>
      </c>
      <c r="G38" s="25" t="inlineStr">
        <is>
          <t>—</t>
        </is>
      </c>
      <c r="H38" s="26" t="inlineStr">
        <is>
          <t>ANTRASİT Levha</t>
        </is>
      </c>
      <c r="I38" s="27" t="inlineStr">
        <is>
          <t>WPC Levha Plaka</t>
        </is>
      </c>
      <c r="J38" s="22" t="inlineStr">
        <is>
          <t>Tek Göz (Levha Kalıbı)</t>
        </is>
      </c>
      <c r="K38" s="14" t="inlineStr">
        <is>
          <t>207 cm (2.07 m)</t>
        </is>
      </c>
      <c r="L38" s="27" t="inlineStr">
        <is>
          <t>En: 94 cm (2 mm)</t>
        </is>
      </c>
      <c r="M38" s="28" t="n">
        <v>4.77</v>
      </c>
      <c r="N38" s="41" t="n">
        <v>40</v>
      </c>
      <c r="O38" s="42" t="n">
        <v>480</v>
      </c>
      <c r="P38" s="43" t="n">
        <v>960</v>
      </c>
      <c r="Q38" s="32" t="n">
        <v>4579.2</v>
      </c>
      <c r="R38" s="33" t="inlineStr">
        <is>
          <t>480 Kapı/Gün</t>
        </is>
      </c>
    </row>
    <row r="39" ht="20" customHeight="1">
      <c r="A39" s="34" t="inlineStr">
        <is>
          <t>↳ Hat 201 (Levha)</t>
        </is>
      </c>
      <c r="B39" s="8" t="inlineStr">
        <is>
          <t>—</t>
        </is>
      </c>
      <c r="C39" s="9" t="n">
        <v>720</v>
      </c>
      <c r="D39" s="10" t="n">
        <v>720</v>
      </c>
      <c r="E39" s="8" t="inlineStr">
        <is>
          <t>—</t>
        </is>
      </c>
      <c r="F39" s="8" t="inlineStr">
        <is>
          <t>—</t>
        </is>
      </c>
      <c r="G39" s="35" t="inlineStr">
        <is>
          <t>—</t>
        </is>
      </c>
      <c r="H39" s="7" t="inlineStr">
        <is>
          <t>VIZON Levha</t>
        </is>
      </c>
      <c r="I39" s="13" t="inlineStr">
        <is>
          <t>WPC Levha Plaka</t>
        </is>
      </c>
      <c r="J39" s="8" t="inlineStr">
        <is>
          <t>Tek Göz (Levha Kalıbı)</t>
        </is>
      </c>
      <c r="K39" s="14" t="inlineStr">
        <is>
          <t>207 cm (2.07 m)</t>
        </is>
      </c>
      <c r="L39" s="13" t="inlineStr">
        <is>
          <t>En: 94 cm (2 mm)</t>
        </is>
      </c>
      <c r="M39" s="15" t="n">
        <v>4.77</v>
      </c>
      <c r="N39" s="44" t="n">
        <v>34</v>
      </c>
      <c r="O39" s="45" t="n">
        <v>408</v>
      </c>
      <c r="P39" s="46" t="n">
        <v>816</v>
      </c>
      <c r="Q39" s="19" t="n">
        <v>3892.3</v>
      </c>
      <c r="R39" s="20" t="inlineStr">
        <is>
          <t>408 Kapı/Gün</t>
        </is>
      </c>
    </row>
    <row r="40" ht="20" customHeight="1">
      <c r="A40" s="21" t="inlineStr">
        <is>
          <t>↳ Hat 201 (Levha)</t>
        </is>
      </c>
      <c r="B40" s="22" t="inlineStr">
        <is>
          <t>—</t>
        </is>
      </c>
      <c r="C40" s="23" t="n">
        <v>720</v>
      </c>
      <c r="D40" s="24" t="n">
        <v>720</v>
      </c>
      <c r="E40" s="22" t="inlineStr">
        <is>
          <t>—</t>
        </is>
      </c>
      <c r="F40" s="22" t="inlineStr">
        <is>
          <t>—</t>
        </is>
      </c>
      <c r="G40" s="25" t="inlineStr">
        <is>
          <t>—</t>
        </is>
      </c>
      <c r="H40" s="26" t="inlineStr">
        <is>
          <t>KOYU CEVİZ Levha</t>
        </is>
      </c>
      <c r="I40" s="27" t="inlineStr">
        <is>
          <t>WPC Levha Plaka</t>
        </is>
      </c>
      <c r="J40" s="22" t="inlineStr">
        <is>
          <t>Tek Göz (Levha Kalıbı)</t>
        </is>
      </c>
      <c r="K40" s="14" t="inlineStr">
        <is>
          <t>207 cm (2.07 m)</t>
        </is>
      </c>
      <c r="L40" s="27" t="inlineStr">
        <is>
          <t>En: 94 cm (2 mm)</t>
        </is>
      </c>
      <c r="M40" s="28" t="n">
        <v>4.79</v>
      </c>
      <c r="N40" s="41" t="n">
        <v>28.8</v>
      </c>
      <c r="O40" s="42" t="n">
        <v>346</v>
      </c>
      <c r="P40" s="43" t="n">
        <v>691</v>
      </c>
      <c r="Q40" s="32" t="n">
        <v>3309.9</v>
      </c>
      <c r="R40" s="33" t="inlineStr">
        <is>
          <t>346 Kapı/Gün</t>
        </is>
      </c>
    </row>
    <row r="41" ht="20" customHeight="1">
      <c r="A41" s="7" t="inlineStr">
        <is>
          <t>KALİTE KONTROL</t>
        </is>
      </c>
      <c r="B41" s="8" t="inlineStr">
        <is>
          <t>08:30 / 20:30 (2V)</t>
        </is>
      </c>
      <c r="C41" s="9" t="n">
        <v>720</v>
      </c>
      <c r="D41" s="10" t="n">
        <v>720</v>
      </c>
      <c r="E41" s="11" t="n">
        <v>3</v>
      </c>
      <c r="F41" s="11" t="n">
        <v>3</v>
      </c>
      <c r="G41" s="47" t="inlineStr">
        <is>
          <t>4.200 Adet/Gün</t>
        </is>
      </c>
      <c r="H41" s="7" t="inlineStr">
        <is>
          <t>TÜM PROFİL &amp; LEVHALAR</t>
        </is>
      </c>
      <c r="I41" s="13" t="inlineStr">
        <is>
          <t>Kalite Güvence</t>
        </is>
      </c>
      <c r="J41" s="8" t="inlineStr">
        <is>
          <t>Ölçü / Yüzey Kontrolü</t>
        </is>
      </c>
      <c r="K41" s="14" t="inlineStr">
        <is>
          <t>Tüm Boylar</t>
        </is>
      </c>
      <c r="L41" s="13" t="inlineStr">
        <is>
          <t>Tüm Kesitler</t>
        </is>
      </c>
      <c r="M41" s="40" t="inlineStr">
        <is>
          <t>—</t>
        </is>
      </c>
      <c r="N41" s="48" t="n">
        <v>175</v>
      </c>
      <c r="O41" s="49" t="n">
        <v>2100</v>
      </c>
      <c r="P41" s="50" t="n">
        <v>4200</v>
      </c>
      <c r="Q41" s="40" t="inlineStr">
        <is>
          <t>—</t>
        </is>
      </c>
      <c r="R41" s="40" t="inlineStr">
        <is>
          <t>4.200 Adet/Gün</t>
        </is>
      </c>
    </row>
    <row r="42" ht="24" customHeight="1">
      <c r="A42" s="51" t="inlineStr">
        <is>
          <t>GENEL TOPLAM (FİLTREYE DUYARLI)</t>
        </is>
      </c>
      <c r="B42" s="52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3">
        <f>SUBTOTAL(109, O5:O41)</f>
        <v/>
      </c>
      <c r="P42" s="53">
        <f>SUBTOTAL(109, P5:P41)</f>
        <v/>
      </c>
      <c r="Q42" s="52" t="n"/>
      <c r="R42" s="52" t="n"/>
    </row>
  </sheetData>
  <autoFilter ref="A4:R41"/>
  <mergeCells count="5">
    <mergeCell ref="N3:R3"/>
    <mergeCell ref="A2:R2"/>
    <mergeCell ref="A3:G3"/>
    <mergeCell ref="A1:R1"/>
    <mergeCell ref="H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2026-10-23T12:00:39Z</dcterms:created>
  <dcterms:modified xsi:type="dcterms:W3CDTF">2026-10-23T12:00:39Z</dcterms:modified>
</cp:coreProperties>
</file>