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ftalık Planlama Master" sheetId="1" state="visible" r:id="rId1"/>
    <sheet name="Ölçü &amp; Boy Kesim Detayları" sheetId="2" state="visible" r:id="rId2"/>
    <sheet name="Hafta Hafta Üretim (KG)" sheetId="3" state="visible" r:id="rId3"/>
    <sheet name="Hafta Hafta Üretim (Boy-Adet)" sheetId="4" state="visible" r:id="rId4"/>
    <sheet name="Hat Bazında Haftalık Kapasi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.00 &quot;kg&quot;"/>
    <numFmt numFmtId="165" formatCode="#,##0.0 &quot;kg&quot;"/>
    <numFmt numFmtId="166" formatCode="#,##0 &quot;boy&quot;"/>
    <numFmt numFmtId="167" formatCode="0.0%"/>
    <numFmt numFmtId="168" formatCode="#,##0 &quot;plk&quot;"/>
    <numFmt numFmtId="169" formatCode="#,##0 &quot;adet&quot;"/>
    <numFmt numFmtId="170" formatCode="#,##0.0"/>
    <numFmt numFmtId="171" formatCode="-"/>
    <numFmt numFmtId="172" formatCode="#,##0.0 &quot;sa&quot;"/>
    <numFmt numFmtId="173" formatCode="0.0 &quot;vrd&quot;"/>
    <numFmt numFmtId="174" formatCode="#,##0.0 &quot;kg/sa&quot;"/>
    <numFmt numFmtId="175" formatCode="#,##0 &quot;şarj&quot;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1E3A8A"/>
      <sz val="11"/>
    </font>
    <font>
      <name val="Segoe UI"/>
      <b val="1"/>
      <color rgb="001E3A8A"/>
      <sz val="10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65F46"/>
        <bgColor rgb="00065F46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2563EB"/>
        <bgColor rgb="002563EB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  <border>
      <left style="medium">
        <color rgb="002563EB"/>
      </left>
      <right style="medium">
        <color rgb="002563EB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right" vertical="center"/>
    </xf>
    <xf numFmtId="166" fontId="4" fillId="5" borderId="2" applyAlignment="1" pivotButton="0" quotePrefix="0" xfId="0">
      <alignment horizontal="right" vertical="center"/>
    </xf>
    <xf numFmtId="167" fontId="5" fillId="0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165" fontId="5" fillId="6" borderId="2" applyAlignment="1" pivotButton="0" quotePrefix="0" xfId="0">
      <alignment horizontal="right" vertical="center"/>
    </xf>
    <xf numFmtId="166" fontId="5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167" fontId="5" fillId="6" borderId="2" applyAlignment="1" pivotButton="0" quotePrefix="0" xfId="0">
      <alignment horizontal="right" vertical="center"/>
    </xf>
    <xf numFmtId="168" fontId="5" fillId="0" borderId="2" applyAlignment="1" pivotButton="0" quotePrefix="0" xfId="0">
      <alignment horizontal="right" vertical="center"/>
    </xf>
    <xf numFmtId="168" fontId="4" fillId="5" borderId="2" applyAlignment="1" pivotButton="0" quotePrefix="0" xfId="0">
      <alignment horizontal="right" vertical="center"/>
    </xf>
    <xf numFmtId="168" fontId="5" fillId="6" borderId="2" applyAlignment="1" pivotButton="0" quotePrefix="0" xfId="0">
      <alignment horizontal="right" vertical="center"/>
    </xf>
    <xf numFmtId="0" fontId="6" fillId="7" borderId="3" pivotButton="0" quotePrefix="0" xfId="0"/>
    <xf numFmtId="165" fontId="6" fillId="7" borderId="3" pivotButton="0" quotePrefix="0" xfId="0"/>
    <xf numFmtId="169" fontId="6" fillId="7" borderId="3" pivotButton="0" quotePrefix="0" xfId="0"/>
    <xf numFmtId="170" fontId="5" fillId="0" borderId="2" applyAlignment="1" pivotButton="0" quotePrefix="0" xfId="0">
      <alignment horizontal="right" vertical="center"/>
    </xf>
    <xf numFmtId="170" fontId="5" fillId="6" borderId="2" applyAlignment="1" pivotButton="0" quotePrefix="0" xfId="0">
      <alignment horizontal="right" vertical="center"/>
    </xf>
    <xf numFmtId="171" fontId="5" fillId="6" borderId="2" applyAlignment="1" pivotButton="0" quotePrefix="0" xfId="0">
      <alignment horizontal="right" vertical="center"/>
    </xf>
    <xf numFmtId="171" fontId="5" fillId="0" borderId="2" applyAlignment="1" pivotButton="0" quotePrefix="0" xfId="0">
      <alignment horizontal="right" vertical="center"/>
    </xf>
    <xf numFmtId="165" fontId="6" fillId="7" borderId="3" applyAlignment="1" pivotButton="0" quotePrefix="0" xfId="0">
      <alignment horizontal="right" vertical="center"/>
    </xf>
    <xf numFmtId="169" fontId="6" fillId="7" borderId="3" applyAlignment="1" pivotButton="0" quotePrefix="0" xfId="0">
      <alignment horizontal="right" vertical="center"/>
    </xf>
    <xf numFmtId="172" fontId="5" fillId="0" borderId="2" applyAlignment="1" pivotButton="0" quotePrefix="0" xfId="0">
      <alignment horizontal="right" vertical="center"/>
    </xf>
    <xf numFmtId="173" fontId="5" fillId="0" borderId="2" applyAlignment="1" pivotButton="0" quotePrefix="0" xfId="0">
      <alignment horizontal="center" vertical="center"/>
    </xf>
    <xf numFmtId="174" fontId="5" fillId="0" borderId="2" applyAlignment="1" pivotButton="0" quotePrefix="0" xfId="0">
      <alignment horizontal="right" vertical="center"/>
    </xf>
    <xf numFmtId="172" fontId="5" fillId="6" borderId="2" applyAlignment="1" pivotButton="0" quotePrefix="0" xfId="0">
      <alignment horizontal="right" vertical="center"/>
    </xf>
    <xf numFmtId="173" fontId="5" fillId="6" borderId="2" applyAlignment="1" pivotButton="0" quotePrefix="0" xfId="0">
      <alignment horizontal="center" vertical="center"/>
    </xf>
    <xf numFmtId="174" fontId="5" fillId="6" borderId="2" applyAlignment="1" pivotButton="0" quotePrefix="0" xfId="0">
      <alignment horizontal="right" vertical="center"/>
    </xf>
    <xf numFmtId="172" fontId="6" fillId="7" borderId="3" pivotButton="0" quotePrefix="0" xfId="0"/>
    <xf numFmtId="173" fontId="6" fillId="7" borderId="3" pivotButton="0" quotePrefix="0" xfId="0"/>
    <xf numFmtId="174" fontId="6" fillId="7" borderId="3" pivotButton="0" quotePrefix="0" xfId="0"/>
    <xf numFmtId="0" fontId="3" fillId="8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170" fontId="0" fillId="0" borderId="2" applyAlignment="1" pivotButton="0" quotePrefix="0" xfId="0">
      <alignment horizontal="right" vertical="center"/>
    </xf>
    <xf numFmtId="166" fontId="7" fillId="9" borderId="4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167" fontId="0" fillId="0" borderId="2" applyAlignment="1" pivotButton="0" quotePrefix="0" xfId="0">
      <alignment horizontal="right" vertical="center"/>
    </xf>
    <xf numFmtId="172" fontId="0" fillId="0" borderId="2" applyAlignment="1" pivotButton="0" quotePrefix="0" xfId="0">
      <alignment horizontal="right" vertical="center"/>
    </xf>
    <xf numFmtId="173" fontId="0" fillId="0" borderId="2" applyAlignment="1" pivotButton="0" quotePrefix="0" xfId="0">
      <alignment horizontal="right" vertical="center"/>
    </xf>
    <xf numFmtId="175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66" fontId="6" fillId="7" borderId="3" pivotButton="0" quotePrefix="0" xfId="0"/>
    <xf numFmtId="175" fontId="6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4" customWidth="1" min="1" max="1"/>
    <col width="12" customWidth="1" min="2" max="2"/>
    <col width="34" customWidth="1" min="3" max="3"/>
    <col width="50" customWidth="1" min="4" max="4"/>
    <col width="26" customWidth="1" min="5" max="5"/>
    <col width="23" customWidth="1" min="6" max="6"/>
    <col width="25" customWidth="1" min="7" max="7"/>
    <col width="27" customWidth="1" min="8" max="8"/>
    <col width="14" customWidth="1" min="9" max="9"/>
    <col width="19" customWidth="1" min="10" max="10"/>
    <col width="20" customWidth="1" min="11" max="11"/>
    <col width="18" customWidth="1" min="12" max="12"/>
    <col width="18" customWidth="1" min="13" max="13"/>
    <col width="33" customWidth="1" min="14" max="14"/>
    <col width="33" customWidth="1" min="15" max="15"/>
    <col width="16" customWidth="1" min="16" max="16"/>
    <col width="29" customWidth="1" min="17" max="17"/>
    <col width="40" customWidth="1" min="18" max="18"/>
  </cols>
  <sheetData>
    <row r="1">
      <c r="A1" s="1" t="inlineStr">
        <is>
          <t>ERGUNBAS GROUP — HAFTALIK PLANLAMA &amp; FİİLİ ÇEKİLEN ÖLÇÜ KAPASİTE TABLOSU</t>
        </is>
      </c>
    </row>
    <row r="2">
      <c r="A2" s="2" t="inlineStr">
        <is>
          <t>Ağustos, Eylül ve Ekim 2026 fiili kantar tartım kayıtları (13 hafta / 1.532 vardiya) — Gerçek kesim boyları ve haftalık planlama kapasiteleri</t>
        </is>
      </c>
    </row>
    <row r="3"/>
    <row r="4">
      <c r="A4" s="3" t="inlineStr">
        <is>
          <t>Ürün Adı</t>
        </is>
      </c>
      <c r="B4" s="3" t="inlineStr">
        <is>
          <t>Kategori</t>
        </is>
      </c>
      <c r="C4" s="4" t="inlineStr">
        <is>
          <t>Fiilen En Çok Çekilen Ana Ölçü</t>
        </is>
      </c>
      <c r="D4" s="3" t="inlineStr">
        <is>
          <t>Çekilen Diğer Ölçü Varyasyonları</t>
        </is>
      </c>
      <c r="E4" s="4" t="inlineStr">
        <is>
          <t>1 Boy Net Ağırlığı (kg)</t>
        </is>
      </c>
      <c r="F4" s="3" t="inlineStr">
        <is>
          <t>Nominal Katalog (kg)</t>
        </is>
      </c>
      <c r="G4" s="3" t="inlineStr">
        <is>
          <t>Geçmiş Toplam Net (kg)</t>
        </is>
      </c>
      <c r="H4" s="3" t="inlineStr">
        <is>
          <t>Geçmiş Toplam (Boy/Adet)</t>
        </is>
      </c>
      <c r="I4" s="3" t="inlineStr">
        <is>
          <t>Aktif Hafta</t>
        </is>
      </c>
      <c r="J4" s="4" t="inlineStr">
        <is>
          <t>Haftalık Ort. KG</t>
        </is>
      </c>
      <c r="K4" s="4" t="inlineStr">
        <is>
          <t>Haftalık Ort. Boy</t>
        </is>
      </c>
      <c r="L4" s="3" t="inlineStr">
        <is>
          <t>Haftalık Max KG</t>
        </is>
      </c>
      <c r="M4" s="3" t="inlineStr">
        <is>
          <t>Haftalık Min KG</t>
        </is>
      </c>
      <c r="N4" s="4" t="inlineStr">
        <is>
          <t>Önerilen Güvenli Plan (kg/hft)</t>
        </is>
      </c>
      <c r="O4" s="4" t="inlineStr">
        <is>
          <t>Önerilen Güvenli Boy (boy/hft)</t>
        </is>
      </c>
      <c r="P4" s="3" t="inlineStr">
        <is>
          <t>Ort. Fire (%)</t>
        </is>
      </c>
      <c r="Q4" s="3" t="inlineStr">
        <is>
          <t>Hammadde Brüt İhtiyaç (kg)</t>
        </is>
      </c>
      <c r="R4" s="3" t="inlineStr">
        <is>
          <t>Öncelikli Hat &amp; Kalıp Çıkışı</t>
        </is>
      </c>
    </row>
    <row r="5">
      <c r="A5" s="5" t="inlineStr">
        <is>
          <t>SEREN</t>
        </is>
      </c>
      <c r="B5" s="6" t="inlineStr">
        <is>
          <t>Seren</t>
        </is>
      </c>
      <c r="C5" s="7" t="inlineStr">
        <is>
          <t>2.10 m (210 cm) (%92.6)</t>
        </is>
      </c>
      <c r="D5" s="6" t="inlineStr">
        <is>
          <t>2.20 m (220 cm) (%7.2)</t>
        </is>
      </c>
      <c r="E5" s="8" t="n">
        <v>3.41</v>
      </c>
      <c r="F5" s="9" t="n">
        <v>3.39</v>
      </c>
      <c r="G5" s="10" t="n">
        <v>298093.8</v>
      </c>
      <c r="H5" s="11" t="n">
        <v>87491</v>
      </c>
      <c r="I5" s="12" t="inlineStr">
        <is>
          <t>13 / 13 hft</t>
        </is>
      </c>
      <c r="J5" s="10" t="n">
        <v>22930.3</v>
      </c>
      <c r="K5" s="11" t="n">
        <v>6730</v>
      </c>
      <c r="L5" s="10" t="n">
        <v>31482</v>
      </c>
      <c r="M5" s="10" t="n">
        <v>2466</v>
      </c>
      <c r="N5" s="13" t="n">
        <v>20637.3</v>
      </c>
      <c r="O5" s="14" t="n">
        <v>6057</v>
      </c>
      <c r="P5" s="15" t="n">
        <v>0.26</v>
      </c>
      <c r="Q5" s="10" t="n">
        <v>27888.2</v>
      </c>
      <c r="R5" s="6" t="inlineStr">
        <is>
          <t>Hat 104 &amp; Hat 105 (Çift Göz (2 Kafa))</t>
        </is>
      </c>
    </row>
    <row r="6">
      <c r="A6" s="16" t="inlineStr">
        <is>
          <t>50X80 PERVAZ</t>
        </is>
      </c>
      <c r="B6" s="17" t="inlineStr">
        <is>
          <t>Pervaz</t>
        </is>
      </c>
      <c r="C6" s="7" t="inlineStr">
        <is>
          <t>2.20 m (220 cm) (%81.1)</t>
        </is>
      </c>
      <c r="D6" s="17" t="inlineStr">
        <is>
          <t>2.50 m (250 cm) (%9.8), 2.80 m (280 cm) (%3.5), 2.26 m (226 cm) (%3.4), 2.60 m (260 cm) (%0.6)</t>
        </is>
      </c>
      <c r="E6" s="8" t="n">
        <v>1.56</v>
      </c>
      <c r="F6" s="18" t="n">
        <v>1.55</v>
      </c>
      <c r="G6" s="19" t="n">
        <v>188073.3</v>
      </c>
      <c r="H6" s="20" t="n">
        <v>120826</v>
      </c>
      <c r="I6" s="21" t="inlineStr">
        <is>
          <t>13 / 13 hft</t>
        </is>
      </c>
      <c r="J6" s="19" t="n">
        <v>14467.2</v>
      </c>
      <c r="K6" s="20" t="n">
        <v>9294</v>
      </c>
      <c r="L6" s="19" t="n">
        <v>20079</v>
      </c>
      <c r="M6" s="19" t="n">
        <v>4833</v>
      </c>
      <c r="N6" s="13" t="n">
        <v>13020.5</v>
      </c>
      <c r="O6" s="14" t="n">
        <v>8365</v>
      </c>
      <c r="P6" s="22" t="n">
        <v>0.289</v>
      </c>
      <c r="Q6" s="19" t="n">
        <v>18312.9</v>
      </c>
      <c r="R6" s="17" t="inlineStr">
        <is>
          <t>Hat 109 &amp; Hat 103 (Çift Göz (2 Kafa))</t>
        </is>
      </c>
    </row>
    <row r="7">
      <c r="A7" s="5" t="inlineStr">
        <is>
          <t>140 mm KASA</t>
        </is>
      </c>
      <c r="B7" s="6" t="inlineStr">
        <is>
          <t>Kasa</t>
        </is>
      </c>
      <c r="C7" s="7" t="inlineStr">
        <is>
          <t>2.15 m (215 cm) (%64.5)</t>
        </is>
      </c>
      <c r="D7" s="6" t="inlineStr">
        <is>
          <t>2.45 m (245 cm) (%22.8), 2.22 m (222 cm) (%12.2)</t>
        </is>
      </c>
      <c r="E7" s="8" t="n">
        <v>4.98</v>
      </c>
      <c r="F7" s="9" t="n">
        <v>4.95</v>
      </c>
      <c r="G7" s="10" t="n">
        <v>172895</v>
      </c>
      <c r="H7" s="11" t="n">
        <v>34746</v>
      </c>
      <c r="I7" s="12" t="inlineStr">
        <is>
          <t>13 / 13 hft</t>
        </is>
      </c>
      <c r="J7" s="10" t="n">
        <v>13299.6</v>
      </c>
      <c r="K7" s="11" t="n">
        <v>2673</v>
      </c>
      <c r="L7" s="10" t="n">
        <v>21801</v>
      </c>
      <c r="M7" s="10" t="n">
        <v>5187</v>
      </c>
      <c r="N7" s="13" t="n">
        <v>11969.7</v>
      </c>
      <c r="O7" s="14" t="n">
        <v>2406</v>
      </c>
      <c r="P7" s="15" t="n">
        <v>0.3</v>
      </c>
      <c r="Q7" s="10" t="n">
        <v>17099.6</v>
      </c>
      <c r="R7" s="6" t="inlineStr">
        <is>
          <t>Hat 106 &amp; Hat 108 (Tek Göz (1 Kafa))</t>
        </is>
      </c>
    </row>
    <row r="8">
      <c r="A8" s="16" t="inlineStr">
        <is>
          <t>100 mm KASA</t>
        </is>
      </c>
      <c r="B8" s="17" t="inlineStr">
        <is>
          <t>Kasa</t>
        </is>
      </c>
      <c r="C8" s="7" t="inlineStr">
        <is>
          <t>2.15 m (215 cm) (%96.0)</t>
        </is>
      </c>
      <c r="D8" s="17" t="inlineStr">
        <is>
          <t>2.22 m (222 cm) (%1.9), 2.45 m (245 cm) (%0.9), 2.60 m (260 cm) (%0.9)</t>
        </is>
      </c>
      <c r="E8" s="8" t="n">
        <v>3.99</v>
      </c>
      <c r="F8" s="18" t="n">
        <v>4</v>
      </c>
      <c r="G8" s="19" t="n">
        <v>132867.8</v>
      </c>
      <c r="H8" s="20" t="n">
        <v>33339</v>
      </c>
      <c r="I8" s="21" t="inlineStr">
        <is>
          <t>13 / 13 hft</t>
        </is>
      </c>
      <c r="J8" s="19" t="n">
        <v>10220.6</v>
      </c>
      <c r="K8" s="20" t="n">
        <v>2565</v>
      </c>
      <c r="L8" s="19" t="n">
        <v>21483</v>
      </c>
      <c r="M8" s="19" t="n">
        <v>2063</v>
      </c>
      <c r="N8" s="13" t="n">
        <v>9198.5</v>
      </c>
      <c r="O8" s="14" t="n">
        <v>2308</v>
      </c>
      <c r="P8" s="22" t="n">
        <v>0.3</v>
      </c>
      <c r="Q8" s="19" t="n">
        <v>13140.7</v>
      </c>
      <c r="R8" s="17" t="inlineStr">
        <is>
          <t>Hat 108 &amp; Hat 102 (Tek Göz (1 Kafa))</t>
        </is>
      </c>
    </row>
    <row r="9">
      <c r="A9" s="5" t="inlineStr">
        <is>
          <t>DIŞBUDAK Levha</t>
        </is>
      </c>
      <c r="B9" s="6" t="inlineStr">
        <is>
          <t>Levha</t>
        </is>
      </c>
      <c r="C9" s="7" t="inlineStr">
        <is>
          <t>94x207 cm (0.94x2.07 m) (%71.6)</t>
        </is>
      </c>
      <c r="D9" s="6" t="inlineStr">
        <is>
          <t>93x208 cm (0.93x2.08 m) (%19.3), 94x208 cm (0.94x2.08 m) (%7.7), 93x211 cm (0.93x2.11 m) (%0.8)</t>
        </is>
      </c>
      <c r="E9" s="8" t="n">
        <v>4.77</v>
      </c>
      <c r="F9" s="9" t="n">
        <v>4.77</v>
      </c>
      <c r="G9" s="10" t="n">
        <v>119721.3</v>
      </c>
      <c r="H9" s="23" t="n">
        <v>25104</v>
      </c>
      <c r="I9" s="12" t="inlineStr">
        <is>
          <t>13 / 13 hft</t>
        </is>
      </c>
      <c r="J9" s="10" t="n">
        <v>9209.299999999999</v>
      </c>
      <c r="K9" s="23" t="n">
        <v>1931</v>
      </c>
      <c r="L9" s="10" t="n">
        <v>19411.5</v>
      </c>
      <c r="M9" s="10" t="n">
        <v>1077.8</v>
      </c>
      <c r="N9" s="13" t="n">
        <v>8288.4</v>
      </c>
      <c r="O9" s="24" t="n">
        <v>1738</v>
      </c>
      <c r="P9" s="15" t="n">
        <v>0.05</v>
      </c>
      <c r="Q9" s="10" t="n">
        <v>8724.6</v>
      </c>
      <c r="R9" s="6" t="inlineStr">
        <is>
          <t>Hat 201 (Levha Kalıbı)</t>
        </is>
      </c>
    </row>
    <row r="10">
      <c r="A10" s="16" t="inlineStr">
        <is>
          <t>200 mm KASA</t>
        </is>
      </c>
      <c r="B10" s="17" t="inlineStr">
        <is>
          <t>Kasa</t>
        </is>
      </c>
      <c r="C10" s="7" t="inlineStr">
        <is>
          <t>2.15 m (215 cm) (%68.0)</t>
        </is>
      </c>
      <c r="D10" s="17" t="inlineStr">
        <is>
          <t>2.45 m (245 cm) (%26.0), 2.22 m (222 cm) (%4.5), 2.20 m (220 cm) (%1.5)</t>
        </is>
      </c>
      <c r="E10" s="8" t="n">
        <v>6.66</v>
      </c>
      <c r="F10" s="18" t="n">
        <v>6.66</v>
      </c>
      <c r="G10" s="19" t="n">
        <v>81332</v>
      </c>
      <c r="H10" s="20" t="n">
        <v>12217</v>
      </c>
      <c r="I10" s="21" t="inlineStr">
        <is>
          <t>9 / 13 hft</t>
        </is>
      </c>
      <c r="J10" s="19" t="n">
        <v>9036.9</v>
      </c>
      <c r="K10" s="20" t="n">
        <v>1357</v>
      </c>
      <c r="L10" s="19" t="n">
        <v>13479</v>
      </c>
      <c r="M10" s="19" t="n">
        <v>226</v>
      </c>
      <c r="N10" s="13" t="n">
        <v>8133.2</v>
      </c>
      <c r="O10" s="14" t="n">
        <v>1222</v>
      </c>
      <c r="P10" s="22" t="n">
        <v>0.3</v>
      </c>
      <c r="Q10" s="19" t="n">
        <v>11618.9</v>
      </c>
      <c r="R10" s="17" t="inlineStr">
        <is>
          <t>Hat 107 (Tek Göz (1 Kafa))</t>
        </is>
      </c>
    </row>
    <row r="11">
      <c r="A11" s="5" t="inlineStr">
        <is>
          <t>TEAK Levha</t>
        </is>
      </c>
      <c r="B11" s="6" t="inlineStr">
        <is>
          <t>Levha</t>
        </is>
      </c>
      <c r="C11" s="7" t="inlineStr">
        <is>
          <t>85x210 cm (0.85x2.10 m) (%20.9)</t>
        </is>
      </c>
      <c r="D11" s="6" t="inlineStr">
        <is>
          <t>75x210 cm (0.75x2.10 m) (%15.6), 75x215 cm (0.75x2.15 m) (%12.7), 75x211 cm (0.75x2.11 m) (%11.9), 94x207 cm (0.94x2.07 m) (%9.0), 94x210 cm (0.94x2.10 m) (%7.6), 93x208 cm (0.93x2.08 m) (%3.9), 94x211 cm (0.94x2.11 m) (%3.7), 93x211 cm (0.93x2.11 m) (%3.1), 75x200 cm (0.75x2.00 m) (%2.9), 84x211 cm (0.84x2.11 m) (%2.6), 80x207 cm (0.80x2.07 m) (%2.1), 85x215 cm (0.85x2.15 m) (%1.9), 102x215 cm (1.02x2.15 m) (%1.1), 85x211 cm (0.85x2.11 m) (%0.9)</t>
        </is>
      </c>
      <c r="E11" s="8" t="n">
        <v>4.25</v>
      </c>
      <c r="F11" s="9" t="n">
        <v>4.25</v>
      </c>
      <c r="G11" s="10" t="n">
        <v>39746</v>
      </c>
      <c r="H11" s="23" t="n">
        <v>9359</v>
      </c>
      <c r="I11" s="12" t="inlineStr">
        <is>
          <t>10 / 13 hft</t>
        </is>
      </c>
      <c r="J11" s="10" t="n">
        <v>3974.6</v>
      </c>
      <c r="K11" s="23" t="n">
        <v>936</v>
      </c>
      <c r="L11" s="10" t="n">
        <v>8676.6</v>
      </c>
      <c r="M11" s="10" t="n">
        <v>533.1</v>
      </c>
      <c r="N11" s="13" t="n">
        <v>3577.1</v>
      </c>
      <c r="O11" s="24" t="n">
        <v>842</v>
      </c>
      <c r="P11" s="15" t="n">
        <v>0.05</v>
      </c>
      <c r="Q11" s="10" t="n">
        <v>3765.4</v>
      </c>
      <c r="R11" s="6" t="inlineStr">
        <is>
          <t>Hat 201 (Levha Kalıbı)</t>
        </is>
      </c>
    </row>
    <row r="12">
      <c r="A12" s="16" t="inlineStr">
        <is>
          <t>MIX TEAK Levha</t>
        </is>
      </c>
      <c r="B12" s="17" t="inlineStr">
        <is>
          <t>Levha</t>
        </is>
      </c>
      <c r="C12" s="7" t="inlineStr">
        <is>
          <t>85x210 cm (0.85x2.10 m) (%51.1)</t>
        </is>
      </c>
      <c r="D12" s="17" t="inlineStr">
        <is>
          <t>85x211 cm (0.85x2.11 m) (%11.1), 75x210 cm (0.75x2.10 m) (%9.7), 86x211 cm (0.86x2.11 m) (%7.0), 84x211 cm (0.84x2.11 m) (%6.3), 93x211 cm (0.93x2.11 m) (%4.8), 94x211 cm (0.94x2.11 m) (%4.4), 93x210 cm (0.93x2.10 m) (%1.7), 85x208 cm (0.85x2.08 m) (%1.3), 94x210 cm (0.94x2.10 m) (%1.1), 93x208 cm (0.93x2.08 m) (%0.9), 85x212 cm (0.85x2.12 m) (%0.5)</t>
        </is>
      </c>
      <c r="E12" s="8" t="n">
        <v>4.37</v>
      </c>
      <c r="F12" s="18" t="n">
        <v>4.25</v>
      </c>
      <c r="G12" s="19" t="n">
        <v>32958.6</v>
      </c>
      <c r="H12" s="25" t="n">
        <v>7535</v>
      </c>
      <c r="I12" s="21" t="inlineStr">
        <is>
          <t>7 / 13 hft</t>
        </is>
      </c>
      <c r="J12" s="19" t="n">
        <v>4708.4</v>
      </c>
      <c r="K12" s="25" t="n">
        <v>1076</v>
      </c>
      <c r="L12" s="19" t="n">
        <v>11185.5</v>
      </c>
      <c r="M12" s="19" t="n">
        <v>940.4</v>
      </c>
      <c r="N12" s="13" t="n">
        <v>4237.5</v>
      </c>
      <c r="O12" s="24" t="n">
        <v>969</v>
      </c>
      <c r="P12" s="22" t="n">
        <v>0.05</v>
      </c>
      <c r="Q12" s="19" t="n">
        <v>4460.5</v>
      </c>
      <c r="R12" s="17" t="inlineStr">
        <is>
          <t>Hat 201 (Levha Kalıbı)</t>
        </is>
      </c>
    </row>
    <row r="13">
      <c r="A13" s="5" t="inlineStr">
        <is>
          <t>BEYAZ TEAK Levha</t>
        </is>
      </c>
      <c r="B13" s="6" t="inlineStr">
        <is>
          <t>Levha</t>
        </is>
      </c>
      <c r="C13" s="7" t="inlineStr">
        <is>
          <t>75x210 cm (0.75x2.10 m) (%26.0)</t>
        </is>
      </c>
      <c r="D13" s="6" t="inlineStr">
        <is>
          <t>94x207 cm (0.94x2.07 m) (%25.9), 93x208 cm (0.93x2.08 m) (%17.5), 94x210 cm (0.94x2.10 m) (%17.1), 90x208 cm (0.90x2.08 m) (%7.7), 75x207 cm (0.75x2.07 m) (%2.5), 93x211 cm (0.93x2.11 m) (%2.2), 94x248 cm (0.94x2.48 m) (%1.2)</t>
        </is>
      </c>
      <c r="E13" s="8" t="n">
        <v>4.47</v>
      </c>
      <c r="F13" s="9" t="n">
        <v>4.41</v>
      </c>
      <c r="G13" s="10" t="n">
        <v>32484.2</v>
      </c>
      <c r="H13" s="23" t="n">
        <v>7270</v>
      </c>
      <c r="I13" s="12" t="inlineStr">
        <is>
          <t>10 / 13 hft</t>
        </is>
      </c>
      <c r="J13" s="10" t="n">
        <v>3248.4</v>
      </c>
      <c r="K13" s="23" t="n">
        <v>727</v>
      </c>
      <c r="L13" s="10" t="n">
        <v>5805.4</v>
      </c>
      <c r="M13" s="10" t="n">
        <v>104.9</v>
      </c>
      <c r="N13" s="13" t="n">
        <v>2923.6</v>
      </c>
      <c r="O13" s="24" t="n">
        <v>654</v>
      </c>
      <c r="P13" s="15" t="n">
        <v>0.05</v>
      </c>
      <c r="Q13" s="10" t="n">
        <v>3077.5</v>
      </c>
      <c r="R13" s="6" t="inlineStr">
        <is>
          <t>Hat 201 (Levha Kalıbı)</t>
        </is>
      </c>
    </row>
    <row r="14">
      <c r="A14" s="16" t="inlineStr">
        <is>
          <t>SEREN(39mm)</t>
        </is>
      </c>
      <c r="B14" s="17" t="inlineStr">
        <is>
          <t>Seren</t>
        </is>
      </c>
      <c r="C14" s="7" t="inlineStr">
        <is>
          <t>2.10 m (210 cm) (%100.0)</t>
        </is>
      </c>
      <c r="D14" s="17" t="inlineStr">
        <is>
          <t>Tek Ölçü Çekildi</t>
        </is>
      </c>
      <c r="E14" s="8" t="n">
        <v>3.82</v>
      </c>
      <c r="F14" s="18" t="n">
        <v>3.81</v>
      </c>
      <c r="G14" s="19" t="n">
        <v>30342</v>
      </c>
      <c r="H14" s="20" t="n">
        <v>7938</v>
      </c>
      <c r="I14" s="21" t="inlineStr">
        <is>
          <t>3 / 13 hft</t>
        </is>
      </c>
      <c r="J14" s="19" t="n">
        <v>10114</v>
      </c>
      <c r="K14" s="20" t="n">
        <v>2646</v>
      </c>
      <c r="L14" s="19" t="n">
        <v>15754</v>
      </c>
      <c r="M14" s="19" t="n">
        <v>4877</v>
      </c>
      <c r="N14" s="13" t="n">
        <v>9102.6</v>
      </c>
      <c r="O14" s="14" t="n">
        <v>2381</v>
      </c>
      <c r="P14" s="22" t="n">
        <v>0.22</v>
      </c>
      <c r="Q14" s="19" t="n">
        <v>11670</v>
      </c>
      <c r="R14" s="17" t="inlineStr">
        <is>
          <t>Hat 107 (Tek Göz Özel)</t>
        </is>
      </c>
    </row>
    <row r="15">
      <c r="A15" s="5" t="inlineStr">
        <is>
          <t>VIZON Levha</t>
        </is>
      </c>
      <c r="B15" s="6" t="inlineStr">
        <is>
          <t>Levha</t>
        </is>
      </c>
      <c r="C15" s="7" t="inlineStr">
        <is>
          <t>94x207 cm (0.94x2.07 m) (%60.7)</t>
        </is>
      </c>
      <c r="D15" s="6" t="inlineStr">
        <is>
          <t>94x208 cm (0.94x2.08 m) (%28.7), 93x208 cm (0.93x2.08 m) (%10.6)</t>
        </is>
      </c>
      <c r="E15" s="8" t="n">
        <v>4.77</v>
      </c>
      <c r="F15" s="9" t="n">
        <v>4.77</v>
      </c>
      <c r="G15" s="10" t="n">
        <v>18367.6</v>
      </c>
      <c r="H15" s="23" t="n">
        <v>3850</v>
      </c>
      <c r="I15" s="12" t="inlineStr">
        <is>
          <t>9 / 13 hft</t>
        </is>
      </c>
      <c r="J15" s="10" t="n">
        <v>2040.8</v>
      </c>
      <c r="K15" s="23" t="n">
        <v>428</v>
      </c>
      <c r="L15" s="10" t="n">
        <v>5568.1</v>
      </c>
      <c r="M15" s="10" t="n">
        <v>95.3</v>
      </c>
      <c r="N15" s="13" t="n">
        <v>1836.8</v>
      </c>
      <c r="O15" s="24" t="n">
        <v>385</v>
      </c>
      <c r="P15" s="15" t="n">
        <v>0.05</v>
      </c>
      <c r="Q15" s="10" t="n">
        <v>1933.5</v>
      </c>
      <c r="R15" s="6" t="inlineStr">
        <is>
          <t>Hat 201 (Levha Kalıbı)</t>
        </is>
      </c>
    </row>
    <row r="16">
      <c r="A16" s="16" t="inlineStr">
        <is>
          <t>KT100-220x24-ANT</t>
        </is>
      </c>
      <c r="B16" s="17" t="inlineStr">
        <is>
          <t>Deck</t>
        </is>
      </c>
      <c r="C16" s="7" t="inlineStr">
        <is>
          <t>3.00 m (300 cm) (%70.4)</t>
        </is>
      </c>
      <c r="D16" s="17" t="inlineStr">
        <is>
          <t>3.40 m (340 cm) (%9.8), 5.00 m (500 cm) (%6.2), 3.70 m (370 cm) (%5.2), 4.00 m (400 cm) (%4.9), 3.10 m (310 cm) (%3.4)</t>
        </is>
      </c>
      <c r="E16" s="8" t="n">
        <v>10.33</v>
      </c>
      <c r="F16" s="18" t="n">
        <v>10.33</v>
      </c>
      <c r="G16" s="19" t="n">
        <v>17678</v>
      </c>
      <c r="H16" s="20" t="n">
        <v>1712</v>
      </c>
      <c r="I16" s="21" t="inlineStr">
        <is>
          <t>3 / 13 hft</t>
        </is>
      </c>
      <c r="J16" s="19" t="n">
        <v>5892.7</v>
      </c>
      <c r="K16" s="20" t="n">
        <v>571</v>
      </c>
      <c r="L16" s="19" t="n">
        <v>9522</v>
      </c>
      <c r="M16" s="19" t="n">
        <v>2982</v>
      </c>
      <c r="N16" s="13" t="n">
        <v>5303.4</v>
      </c>
      <c r="O16" s="14" t="n">
        <v>514</v>
      </c>
      <c r="P16" s="22" t="n">
        <v>0.25</v>
      </c>
      <c r="Q16" s="19" t="n">
        <v>7071.2</v>
      </c>
      <c r="R16" s="17" t="inlineStr">
        <is>
          <t>Hat 107 (Tek Göz)</t>
        </is>
      </c>
    </row>
    <row r="17">
      <c r="A17" s="5" t="inlineStr">
        <is>
          <t>80X80 PERVAZ</t>
        </is>
      </c>
      <c r="B17" s="6" t="inlineStr">
        <is>
          <t>Pervaz</t>
        </is>
      </c>
      <c r="C17" s="7" t="inlineStr">
        <is>
          <t>2.24 m (224 cm) (%92.9)</t>
        </is>
      </c>
      <c r="D17" s="6" t="inlineStr">
        <is>
          <t>2.20 m (220 cm) (%7.1)</t>
        </is>
      </c>
      <c r="E17" s="8" t="n">
        <v>2.2</v>
      </c>
      <c r="F17" s="9" t="n">
        <v>2.2</v>
      </c>
      <c r="G17" s="10" t="n">
        <v>14339</v>
      </c>
      <c r="H17" s="11" t="n">
        <v>6520</v>
      </c>
      <c r="I17" s="12" t="inlineStr">
        <is>
          <t>5 / 13 hft</t>
        </is>
      </c>
      <c r="J17" s="10" t="n">
        <v>2867.8</v>
      </c>
      <c r="K17" s="11" t="n">
        <v>1304</v>
      </c>
      <c r="L17" s="10" t="n">
        <v>6200</v>
      </c>
      <c r="M17" s="10" t="n">
        <v>1021</v>
      </c>
      <c r="N17" s="13" t="n">
        <v>2581</v>
      </c>
      <c r="O17" s="14" t="n">
        <v>1174</v>
      </c>
      <c r="P17" s="15" t="n">
        <v>0.194</v>
      </c>
      <c r="Q17" s="10" t="n">
        <v>3202.2</v>
      </c>
      <c r="R17" s="6" t="inlineStr">
        <is>
          <t>Hat 101 &amp; Hat 109 (Tek/Çift Göz)</t>
        </is>
      </c>
    </row>
    <row r="18">
      <c r="A18" s="16" t="inlineStr">
        <is>
          <t>35X100 PERVAZ</t>
        </is>
      </c>
      <c r="B18" s="17" t="inlineStr">
        <is>
          <t>Pervaz</t>
        </is>
      </c>
      <c r="C18" s="7" t="inlineStr">
        <is>
          <t>2.20 m (220 cm) (%94.8)</t>
        </is>
      </c>
      <c r="D18" s="17" t="inlineStr">
        <is>
          <t>2.27 m (227 cm) (%5.2)</t>
        </is>
      </c>
      <c r="E18" s="8" t="n">
        <v>2.09</v>
      </c>
      <c r="F18" s="18" t="n">
        <v>2.08</v>
      </c>
      <c r="G18" s="19" t="n">
        <v>10435</v>
      </c>
      <c r="H18" s="20" t="n">
        <v>4995</v>
      </c>
      <c r="I18" s="21" t="inlineStr">
        <is>
          <t>3 / 13 hft</t>
        </is>
      </c>
      <c r="J18" s="19" t="n">
        <v>3478.3</v>
      </c>
      <c r="K18" s="20" t="n">
        <v>1665</v>
      </c>
      <c r="L18" s="19" t="n">
        <v>4707</v>
      </c>
      <c r="M18" s="19" t="n">
        <v>2666</v>
      </c>
      <c r="N18" s="13" t="n">
        <v>3130.5</v>
      </c>
      <c r="O18" s="14" t="n">
        <v>1498</v>
      </c>
      <c r="P18" s="22" t="n">
        <v>0.125</v>
      </c>
      <c r="Q18" s="19" t="n">
        <v>3577.7</v>
      </c>
      <c r="R18" s="17" t="inlineStr">
        <is>
          <t>Hat 101 (Tek Göz (1 Kafa))</t>
        </is>
      </c>
    </row>
    <row r="19">
      <c r="A19" s="5" t="inlineStr">
        <is>
          <t>35X150 PERVAZ</t>
        </is>
      </c>
      <c r="B19" s="6" t="inlineStr">
        <is>
          <t>Pervaz</t>
        </is>
      </c>
      <c r="C19" s="7" t="inlineStr">
        <is>
          <t>2.20 m (220 cm) (%100.0)</t>
        </is>
      </c>
      <c r="D19" s="6" t="inlineStr">
        <is>
          <t>Tek Ölçü Çekildi</t>
        </is>
      </c>
      <c r="E19" s="8" t="n">
        <v>2.97</v>
      </c>
      <c r="F19" s="9" t="n">
        <v>2.97</v>
      </c>
      <c r="G19" s="10" t="n">
        <v>9522</v>
      </c>
      <c r="H19" s="11" t="n">
        <v>3205</v>
      </c>
      <c r="I19" s="12" t="inlineStr">
        <is>
          <t>2 / 13 hft</t>
        </is>
      </c>
      <c r="J19" s="10" t="n">
        <v>4761</v>
      </c>
      <c r="K19" s="11" t="n">
        <v>1602</v>
      </c>
      <c r="L19" s="10" t="n">
        <v>4898</v>
      </c>
      <c r="M19" s="10" t="n">
        <v>4624</v>
      </c>
      <c r="N19" s="13" t="n">
        <v>4284.9</v>
      </c>
      <c r="O19" s="14" t="n">
        <v>1442</v>
      </c>
      <c r="P19" s="15" t="n">
        <v>0.177</v>
      </c>
      <c r="Q19" s="10" t="n">
        <v>5206.4</v>
      </c>
      <c r="R19" s="6" t="inlineStr">
        <is>
          <t>Hat 101 (Tek Göz (1 Kafa))</t>
        </is>
      </c>
    </row>
    <row r="20">
      <c r="A20" s="16" t="inlineStr">
        <is>
          <t>KT102-219x26-ANT</t>
        </is>
      </c>
      <c r="B20" s="17" t="inlineStr">
        <is>
          <t>Deck</t>
        </is>
      </c>
      <c r="C20" s="7" t="inlineStr">
        <is>
          <t>3.00 m (300 cm) (%81.1)</t>
        </is>
      </c>
      <c r="D20" s="17" t="inlineStr">
        <is>
          <t>3.70 m (370 cm) (%9.5), 3.40 m (340 cm) (%6.5), 5.00 m (500 cm) (%2.8)</t>
        </is>
      </c>
      <c r="E20" s="8" t="n">
        <v>10.52</v>
      </c>
      <c r="F20" s="18" t="n">
        <v>10.52</v>
      </c>
      <c r="G20" s="19" t="n">
        <v>9415</v>
      </c>
      <c r="H20" s="20" t="n">
        <v>895</v>
      </c>
      <c r="I20" s="21" t="inlineStr">
        <is>
          <t>3 / 13 hft</t>
        </is>
      </c>
      <c r="J20" s="19" t="n">
        <v>3138.3</v>
      </c>
      <c r="K20" s="20" t="n">
        <v>298</v>
      </c>
      <c r="L20" s="19" t="n">
        <v>6480</v>
      </c>
      <c r="M20" s="19" t="n">
        <v>1102</v>
      </c>
      <c r="N20" s="13" t="n">
        <v>2824.5</v>
      </c>
      <c r="O20" s="14" t="n">
        <v>268</v>
      </c>
      <c r="P20" s="22" t="n">
        <v>0.25</v>
      </c>
      <c r="Q20" s="19" t="n">
        <v>3766</v>
      </c>
      <c r="R20" s="17" t="inlineStr">
        <is>
          <t>Hat 107 (Tek Göz)</t>
        </is>
      </c>
    </row>
    <row r="21">
      <c r="A21" s="5" t="inlineStr">
        <is>
          <t>MIX BEYAZ TEAK Levha</t>
        </is>
      </c>
      <c r="B21" s="6" t="inlineStr">
        <is>
          <t>Levha</t>
        </is>
      </c>
      <c r="C21" s="7" t="inlineStr">
        <is>
          <t>75x210 cm (0.75x2.10 m) (%45.1)</t>
        </is>
      </c>
      <c r="D21" s="6" t="inlineStr">
        <is>
          <t>85x210 cm (0.85x2.10 m) (%33.6), 94x210 cm (0.94x2.10 m) (%13.2), 94x207 cm (0.94x2.07 m) (%4.8), 85x207 cm (0.85x2.07 m) (%3.5)</t>
        </is>
      </c>
      <c r="E21" s="8" t="n">
        <v>4.19</v>
      </c>
      <c r="F21" s="9" t="n">
        <v>4.41</v>
      </c>
      <c r="G21" s="10" t="n">
        <v>8993.6</v>
      </c>
      <c r="H21" s="23" t="n">
        <v>2147</v>
      </c>
      <c r="I21" s="12" t="inlineStr">
        <is>
          <t>5 / 13 hft</t>
        </is>
      </c>
      <c r="J21" s="10" t="n">
        <v>1798.7</v>
      </c>
      <c r="K21" s="23" t="n">
        <v>429</v>
      </c>
      <c r="L21" s="10" t="n">
        <v>4129.9</v>
      </c>
      <c r="M21" s="10" t="n">
        <v>72.5</v>
      </c>
      <c r="N21" s="13" t="n">
        <v>1618.8</v>
      </c>
      <c r="O21" s="24" t="n">
        <v>386</v>
      </c>
      <c r="P21" s="15" t="n">
        <v>0.05</v>
      </c>
      <c r="Q21" s="10" t="n">
        <v>1704</v>
      </c>
      <c r="R21" s="6" t="inlineStr">
        <is>
          <t>Hat 201 (Levha Kalıbı)</t>
        </is>
      </c>
    </row>
    <row r="22">
      <c r="A22" s="16" t="inlineStr">
        <is>
          <t>CAM ÇITASI</t>
        </is>
      </c>
      <c r="B22" s="17" t="inlineStr">
        <is>
          <t>Çıta</t>
        </is>
      </c>
      <c r="C22" s="7" t="inlineStr">
        <is>
          <t>2.20 m (220 cm) (%100.0)</t>
        </is>
      </c>
      <c r="D22" s="17" t="inlineStr">
        <is>
          <t>Tek Ölçü Çekildi</t>
        </is>
      </c>
      <c r="E22" s="8" t="n">
        <v>1.5</v>
      </c>
      <c r="F22" s="18" t="n">
        <v>1.5</v>
      </c>
      <c r="G22" s="19" t="n">
        <v>7805</v>
      </c>
      <c r="H22" s="20" t="n">
        <v>5187</v>
      </c>
      <c r="I22" s="21" t="inlineStr">
        <is>
          <t>2 / 13 hft</t>
        </is>
      </c>
      <c r="J22" s="19" t="n">
        <v>3902.5</v>
      </c>
      <c r="K22" s="20" t="n">
        <v>2594</v>
      </c>
      <c r="L22" s="19" t="n">
        <v>4295</v>
      </c>
      <c r="M22" s="19" t="n">
        <v>3510</v>
      </c>
      <c r="N22" s="13" t="n">
        <v>3512.2</v>
      </c>
      <c r="O22" s="14" t="n">
        <v>2334</v>
      </c>
      <c r="P22" s="22" t="n">
        <v>0.15</v>
      </c>
      <c r="Q22" s="19" t="n">
        <v>4132</v>
      </c>
      <c r="R22" s="17" t="inlineStr">
        <is>
          <t>Hat 102 (Tek Göz)</t>
        </is>
      </c>
    </row>
    <row r="23">
      <c r="A23" s="5" t="inlineStr">
        <is>
          <t>SONOMO Levha</t>
        </is>
      </c>
      <c r="B23" s="6" t="inlineStr">
        <is>
          <t>Levha</t>
        </is>
      </c>
      <c r="C23" s="7" t="inlineStr">
        <is>
          <t>85x210 cm (0.85x2.10 m) (%60.5)</t>
        </is>
      </c>
      <c r="D23" s="6" t="inlineStr">
        <is>
          <t>94x207 cm (0.94x2.07 m) (%12.6), 80x209 cm (0.80x2.09 m) (%10.6), 75x208 cm (0.75x2.08 m) (%9.8), 94x248 cm (0.94x2.48 m) (%2.2), 94x220 cm (0.94x2.20 m) (%1.6), 85x224 cm (0.85x2.24 m) (%1.6), 85x248 cm (0.85x2.48 m) (%1.1)</t>
        </is>
      </c>
      <c r="E23" s="8" t="n">
        <v>4.37</v>
      </c>
      <c r="F23" s="9" t="n">
        <v>4.33</v>
      </c>
      <c r="G23" s="10" t="n">
        <v>7760.6</v>
      </c>
      <c r="H23" s="23" t="n">
        <v>1776</v>
      </c>
      <c r="I23" s="12" t="inlineStr">
        <is>
          <t>9 / 13 hft</t>
        </is>
      </c>
      <c r="J23" s="10" t="n">
        <v>862.3</v>
      </c>
      <c r="K23" s="23" t="n">
        <v>197</v>
      </c>
      <c r="L23" s="10" t="n">
        <v>4504.4</v>
      </c>
      <c r="M23" s="10" t="n">
        <v>95.3</v>
      </c>
      <c r="N23" s="13" t="n">
        <v>776.1</v>
      </c>
      <c r="O23" s="24" t="n">
        <v>178</v>
      </c>
      <c r="P23" s="15" t="n">
        <v>0.05</v>
      </c>
      <c r="Q23" s="10" t="n">
        <v>816.9</v>
      </c>
      <c r="R23" s="6" t="inlineStr">
        <is>
          <t>Hat 201 (Levha Kalıbı)</t>
        </is>
      </c>
    </row>
    <row r="24">
      <c r="A24" s="16" t="inlineStr">
        <is>
          <t>AY GRİ Levha</t>
        </is>
      </c>
      <c r="B24" s="17" t="inlineStr">
        <is>
          <t>Levha</t>
        </is>
      </c>
      <c r="C24" s="7" t="inlineStr">
        <is>
          <t>94x207 cm (0.94x2.07 m) (%29.3)</t>
        </is>
      </c>
      <c r="D24" s="17" t="inlineStr">
        <is>
          <t>80x217 cm (0.80x2.17 m) (%28.4), 90x215 cm (0.90x2.15 m) (%26.8), 90x217 cm (0.90x2.17 m) (%8.0), 100x217 cm (1.00x2.17 m) (%6.6), 94x215 cm (0.94x2.15 m) (%0.8)</t>
        </is>
      </c>
      <c r="E24" s="8" t="n">
        <v>4.64</v>
      </c>
      <c r="F24" s="18" t="n">
        <v>4.64</v>
      </c>
      <c r="G24" s="19" t="n">
        <v>6012.2</v>
      </c>
      <c r="H24" s="25" t="n">
        <v>1297</v>
      </c>
      <c r="I24" s="21" t="inlineStr">
        <is>
          <t>4 / 13 hft</t>
        </is>
      </c>
      <c r="J24" s="19" t="n">
        <v>1503.1</v>
      </c>
      <c r="K24" s="25" t="n">
        <v>324</v>
      </c>
      <c r="L24" s="19" t="n">
        <v>3321.6</v>
      </c>
      <c r="M24" s="19" t="n">
        <v>621.6</v>
      </c>
      <c r="N24" s="13" t="n">
        <v>1352.8</v>
      </c>
      <c r="O24" s="24" t="n">
        <v>292</v>
      </c>
      <c r="P24" s="22" t="n">
        <v>0.05</v>
      </c>
      <c r="Q24" s="19" t="n">
        <v>1424</v>
      </c>
      <c r="R24" s="17" t="inlineStr">
        <is>
          <t>Hat 201 (Levha Kalıbı)</t>
        </is>
      </c>
    </row>
    <row r="25">
      <c r="A25" s="5" t="inlineStr">
        <is>
          <t>ANTRASİT Levha</t>
        </is>
      </c>
      <c r="B25" s="6" t="inlineStr">
        <is>
          <t>Levha</t>
        </is>
      </c>
      <c r="C25" s="7" t="inlineStr">
        <is>
          <t>94x207 cm (0.94x2.07 m) (%96.6)</t>
        </is>
      </c>
      <c r="D25" s="6" t="inlineStr">
        <is>
          <t>94x210 cm (0.94x2.10 m) (%3.4)</t>
        </is>
      </c>
      <c r="E25" s="8" t="n">
        <v>4.77</v>
      </c>
      <c r="F25" s="9" t="n">
        <v>4.77</v>
      </c>
      <c r="G25" s="10" t="n">
        <v>5609</v>
      </c>
      <c r="H25" s="23" t="n">
        <v>1176</v>
      </c>
      <c r="I25" s="12" t="inlineStr">
        <is>
          <t>5 / 13 hft</t>
        </is>
      </c>
      <c r="J25" s="10" t="n">
        <v>1121.8</v>
      </c>
      <c r="K25" s="23" t="n">
        <v>235</v>
      </c>
      <c r="L25" s="10" t="n">
        <v>2359.8</v>
      </c>
      <c r="M25" s="10" t="n">
        <v>19.1</v>
      </c>
      <c r="N25" s="13" t="n">
        <v>1009.6</v>
      </c>
      <c r="O25" s="24" t="n">
        <v>212</v>
      </c>
      <c r="P25" s="15" t="n">
        <v>0.05</v>
      </c>
      <c r="Q25" s="10" t="n">
        <v>1062.7</v>
      </c>
      <c r="R25" s="6" t="inlineStr">
        <is>
          <t>Hat 201 (Levha Kalıbı)</t>
        </is>
      </c>
    </row>
    <row r="26">
      <c r="A26" s="16" t="inlineStr">
        <is>
          <t>KOYU CEVİZ Levha</t>
        </is>
      </c>
      <c r="B26" s="17" t="inlineStr">
        <is>
          <t>Levha</t>
        </is>
      </c>
      <c r="C26" s="7" t="inlineStr">
        <is>
          <t>93x210 cm (0.93x2.10 m) (%54.8)</t>
        </is>
      </c>
      <c r="D26" s="17" t="inlineStr">
        <is>
          <t>93x211 cm (0.93x2.11 m) (%21.3), 94x207 cm (0.94x2.07 m) (%21.2), 85x224 cm (0.85x2.24 m) (%1.5), 94x215 cm (0.94x2.15 m) (%1.3)</t>
        </is>
      </c>
      <c r="E26" s="8" t="n">
        <v>4.79</v>
      </c>
      <c r="F26" s="18" t="n">
        <v>4.79</v>
      </c>
      <c r="G26" s="19" t="n">
        <v>3843.3</v>
      </c>
      <c r="H26" s="25" t="n">
        <v>803</v>
      </c>
      <c r="I26" s="21" t="inlineStr">
        <is>
          <t>5 / 13 hft</t>
        </is>
      </c>
      <c r="J26" s="19" t="n">
        <v>768.7</v>
      </c>
      <c r="K26" s="25" t="n">
        <v>161</v>
      </c>
      <c r="L26" s="19" t="n">
        <v>2161.3</v>
      </c>
      <c r="M26" s="19" t="n">
        <v>49.5</v>
      </c>
      <c r="N26" s="13" t="n">
        <v>691.8</v>
      </c>
      <c r="O26" s="24" t="n">
        <v>145</v>
      </c>
      <c r="P26" s="22" t="n">
        <v>0.05</v>
      </c>
      <c r="Q26" s="19" t="n">
        <v>728.2</v>
      </c>
      <c r="R26" s="17" t="inlineStr">
        <is>
          <t>Hat 201 (Levha Kalıbı)</t>
        </is>
      </c>
    </row>
    <row r="27">
      <c r="A27" s="5" t="inlineStr">
        <is>
          <t>COCO Levha</t>
        </is>
      </c>
      <c r="B27" s="6" t="inlineStr">
        <is>
          <t>Levha</t>
        </is>
      </c>
      <c r="C27" s="7" t="inlineStr">
        <is>
          <t>94x208 cm (0.94x2.08 m) (%88.4)</t>
        </is>
      </c>
      <c r="D27" s="6" t="inlineStr">
        <is>
          <t>93x208 cm (0.93x2.08 m) (%9.9), 94x215 cm (0.94x2.15 m) (%1.7)</t>
        </is>
      </c>
      <c r="E27" s="8" t="n">
        <v>4.79</v>
      </c>
      <c r="F27" s="9" t="n">
        <v>4.79</v>
      </c>
      <c r="G27" s="10" t="n">
        <v>2872.7</v>
      </c>
      <c r="H27" s="23" t="n">
        <v>600</v>
      </c>
      <c r="I27" s="12" t="inlineStr">
        <is>
          <t>3 / 13 hft</t>
        </is>
      </c>
      <c r="J27" s="10" t="n">
        <v>957.6</v>
      </c>
      <c r="K27" s="23" t="n">
        <v>200</v>
      </c>
      <c r="L27" s="10" t="n">
        <v>2538.8</v>
      </c>
      <c r="M27" s="10" t="n">
        <v>49.5</v>
      </c>
      <c r="N27" s="13" t="n">
        <v>861.8</v>
      </c>
      <c r="O27" s="24" t="n">
        <v>180</v>
      </c>
      <c r="P27" s="15" t="n">
        <v>0.05</v>
      </c>
      <c r="Q27" s="10" t="n">
        <v>907.2</v>
      </c>
      <c r="R27" s="6" t="inlineStr">
        <is>
          <t>Hat 201 (Levha Kalıbı)</t>
        </is>
      </c>
    </row>
    <row r="28">
      <c r="A28" s="16" t="inlineStr">
        <is>
          <t>U KAPAMA</t>
        </is>
      </c>
      <c r="B28" s="17" t="inlineStr">
        <is>
          <t>Profil</t>
        </is>
      </c>
      <c r="C28" s="7" t="inlineStr">
        <is>
          <t>2.30 m (230 cm) (%86.8)</t>
        </is>
      </c>
      <c r="D28" s="17" t="inlineStr">
        <is>
          <t>2.15 m (215 cm) (%13.2)</t>
        </is>
      </c>
      <c r="E28" s="8" t="n">
        <v>0.48</v>
      </c>
      <c r="F28" s="18" t="n">
        <v>0.48</v>
      </c>
      <c r="G28" s="19" t="n">
        <v>1385</v>
      </c>
      <c r="H28" s="20" t="n">
        <v>2901</v>
      </c>
      <c r="I28" s="21" t="inlineStr">
        <is>
          <t>2 / 13 hft</t>
        </is>
      </c>
      <c r="J28" s="19" t="n">
        <v>692.5</v>
      </c>
      <c r="K28" s="20" t="n">
        <v>1450</v>
      </c>
      <c r="L28" s="19" t="n">
        <v>837</v>
      </c>
      <c r="M28" s="19" t="n">
        <v>548</v>
      </c>
      <c r="N28" s="13" t="n">
        <v>623.2</v>
      </c>
      <c r="O28" s="14" t="n">
        <v>1305</v>
      </c>
      <c r="P28" s="22" t="n">
        <v>0.15</v>
      </c>
      <c r="Q28" s="19" t="n">
        <v>733.2</v>
      </c>
      <c r="R28" s="17" t="inlineStr">
        <is>
          <t>Hat 102 (Tek Göz)</t>
        </is>
      </c>
    </row>
    <row r="29">
      <c r="A29" s="5" t="inlineStr">
        <is>
          <t>35X80 PERVAZ</t>
        </is>
      </c>
      <c r="B29" s="6" t="inlineStr">
        <is>
          <t>Pervaz</t>
        </is>
      </c>
      <c r="C29" s="7" t="inlineStr">
        <is>
          <t>2.20 m (220 cm) (%100.0)</t>
        </is>
      </c>
      <c r="D29" s="6" t="inlineStr">
        <is>
          <t>Tek Ölçü Çekildi</t>
        </is>
      </c>
      <c r="E29" s="8" t="n">
        <v>2.94</v>
      </c>
      <c r="F29" s="9" t="n">
        <v>2.94</v>
      </c>
      <c r="G29" s="10" t="n">
        <v>530</v>
      </c>
      <c r="H29" s="11" t="n">
        <v>180</v>
      </c>
      <c r="I29" s="12" t="inlineStr">
        <is>
          <t>1 / 13 hft</t>
        </is>
      </c>
      <c r="J29" s="10" t="n">
        <v>530</v>
      </c>
      <c r="K29" s="11" t="n">
        <v>180</v>
      </c>
      <c r="L29" s="10" t="n">
        <v>530</v>
      </c>
      <c r="M29" s="10" t="n">
        <v>530</v>
      </c>
      <c r="N29" s="13" t="n">
        <v>477</v>
      </c>
      <c r="O29" s="14" t="n">
        <v>162</v>
      </c>
      <c r="P29" s="15" t="n">
        <v>0.113</v>
      </c>
      <c r="Q29" s="10" t="n">
        <v>537.8</v>
      </c>
      <c r="R29" s="6" t="inlineStr">
        <is>
          <t>Hat 101 (Tek Göz (1 Kafa))</t>
        </is>
      </c>
    </row>
    <row r="30">
      <c r="A30" s="16" t="inlineStr">
        <is>
          <t>KT102-219x26-KAH</t>
        </is>
      </c>
      <c r="B30" s="17" t="inlineStr">
        <is>
          <t>Deck</t>
        </is>
      </c>
      <c r="C30" s="7" t="inlineStr">
        <is>
          <t>3.00 m (300 cm) (%100.0)</t>
        </is>
      </c>
      <c r="D30" s="17" t="inlineStr">
        <is>
          <t>Tek Ölçü Çekildi</t>
        </is>
      </c>
      <c r="E30" s="8" t="n">
        <v>9.26</v>
      </c>
      <c r="F30" s="18" t="n">
        <v>9.26</v>
      </c>
      <c r="G30" s="19" t="n">
        <v>463</v>
      </c>
      <c r="H30" s="20" t="n">
        <v>50</v>
      </c>
      <c r="I30" s="21" t="inlineStr">
        <is>
          <t>1 / 13 hft</t>
        </is>
      </c>
      <c r="J30" s="19" t="n">
        <v>463</v>
      </c>
      <c r="K30" s="20" t="n">
        <v>50</v>
      </c>
      <c r="L30" s="19" t="n">
        <v>463</v>
      </c>
      <c r="M30" s="19" t="n">
        <v>463</v>
      </c>
      <c r="N30" s="13" t="n">
        <v>416.7</v>
      </c>
      <c r="O30" s="14" t="n">
        <v>45</v>
      </c>
      <c r="P30" s="22" t="n">
        <v>0.25</v>
      </c>
      <c r="Q30" s="19" t="n">
        <v>555.6</v>
      </c>
      <c r="R30" s="17" t="inlineStr">
        <is>
          <t>Hat 107 (Tek Göz)</t>
        </is>
      </c>
    </row>
    <row r="31">
      <c r="A31" s="26" t="inlineStr">
        <is>
          <t>FABRİKA GENEL TOPLAMI / HAFTALIK ORTALAMA</t>
        </is>
      </c>
      <c r="B31" s="26" t="n"/>
      <c r="C31" s="26" t="n"/>
      <c r="D31" s="26" t="n"/>
      <c r="E31" s="26" t="n"/>
      <c r="F31" s="26" t="n"/>
      <c r="G31" s="27">
        <f>SUM(G5:G30)</f>
        <v/>
      </c>
      <c r="H31" s="28">
        <f>SUM(H5:H30)</f>
        <v/>
      </c>
      <c r="I31" s="26" t="n"/>
      <c r="J31" s="27">
        <f>SUM(J5:J30)</f>
        <v/>
      </c>
      <c r="K31" s="28">
        <f>SUM(K5:K30)</f>
        <v/>
      </c>
      <c r="L31" s="26" t="n"/>
      <c r="M31" s="26" t="n"/>
      <c r="N31" s="27">
        <f>SUM(N5:N30)</f>
        <v/>
      </c>
      <c r="O31" s="28">
        <f>SUM(O5:O30)</f>
        <v/>
      </c>
      <c r="P31" s="26" t="n"/>
      <c r="Q31" s="27">
        <f>SUM(Q5:Q30)</f>
        <v/>
      </c>
      <c r="R31" s="26" t="n"/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3" customWidth="1" min="1" max="1"/>
    <col width="12" customWidth="1" min="2" max="2"/>
    <col width="39" customWidth="1" min="3" max="3"/>
    <col width="28" customWidth="1" min="4" max="4"/>
    <col width="16" customWidth="1" min="5" max="5"/>
    <col width="33" customWidth="1" min="6" max="6"/>
    <col width="26" customWidth="1" min="7" max="7"/>
    <col width="37" customWidth="1" min="8" max="8"/>
    <col width="21" customWidth="1" min="9" max="9"/>
    <col width="20" customWidth="1" min="10" max="10"/>
    <col width="19" customWidth="1" min="11" max="11"/>
  </cols>
  <sheetData>
    <row r="1">
      <c r="A1" s="1" t="inlineStr">
        <is>
          <t>ERGUNBAS GROUP — FİİLEN ÇEKİLEN ÖLÇÜ BAZINDA ÜRETİM VE AĞIRLIK DETAYLARI</t>
        </is>
      </c>
    </row>
    <row r="2">
      <c r="A2" s="2" t="inlineStr">
        <is>
          <t>Sistem kayıtlarındaki tüm kesim boyları ve plaka ebatlarının (cm/metre) fiili gerçekleşme tonajları, adetleri ve 1 boy ağırlıkları</t>
        </is>
      </c>
    </row>
    <row r="3"/>
    <row r="4">
      <c r="A4" s="3" t="inlineStr">
        <is>
          <t>Ürün Adı</t>
        </is>
      </c>
      <c r="B4" s="3" t="inlineStr">
        <is>
          <t>Kategori</t>
        </is>
      </c>
      <c r="C4" s="4" t="inlineStr">
        <is>
          <t>Fiilen Çekilen Kesim Ölçüsü (cm / m)</t>
        </is>
      </c>
      <c r="D4" s="4" t="inlineStr">
        <is>
          <t>Toplam Çekilen Boy / Adet</t>
        </is>
      </c>
      <c r="E4" s="4" t="inlineStr">
        <is>
          <t>Toplam Net KG</t>
        </is>
      </c>
      <c r="F4" s="4" t="inlineStr">
        <is>
          <t>Bu Ölçünün 1 Boy Ağırlığı (kg)</t>
        </is>
      </c>
      <c r="G4" s="3" t="inlineStr">
        <is>
          <t>Ürün İçi Payı (%)</t>
        </is>
      </c>
      <c r="H4" s="3" t="inlineStr">
        <is>
          <t>Çekildiği Hat(lar)</t>
        </is>
      </c>
      <c r="I4" s="3" t="inlineStr">
        <is>
          <t>Aktif Hafta Sayısı</t>
        </is>
      </c>
      <c r="J4" s="3" t="inlineStr">
        <is>
          <t>Haftalık Ort. Boy</t>
        </is>
      </c>
      <c r="K4" s="3" t="inlineStr">
        <is>
          <t>Haftalık Ort. KG</t>
        </is>
      </c>
    </row>
    <row r="5">
      <c r="A5" s="5" t="inlineStr">
        <is>
          <t>SEREN</t>
        </is>
      </c>
      <c r="B5" s="6" t="inlineStr">
        <is>
          <t>Seren</t>
        </is>
      </c>
      <c r="C5" s="7" t="inlineStr">
        <is>
          <t>2.10 m (210 cm)</t>
        </is>
      </c>
      <c r="D5" s="11" t="n">
        <v>80924</v>
      </c>
      <c r="E5" s="10" t="n">
        <v>276176</v>
      </c>
      <c r="F5" s="8" t="n">
        <v>3.41</v>
      </c>
      <c r="G5" s="15" t="n">
        <v>0.9264734431401607</v>
      </c>
      <c r="H5" s="6" t="inlineStr">
        <is>
          <t>Hat 104, Hat 105, Hat 107</t>
        </is>
      </c>
      <c r="I5" s="12" t="inlineStr">
        <is>
          <t>13 hft</t>
        </is>
      </c>
      <c r="J5" s="11" t="n">
        <v>6225</v>
      </c>
      <c r="K5" s="10" t="n">
        <v>21244.3</v>
      </c>
    </row>
    <row r="6">
      <c r="A6" s="16" t="inlineStr">
        <is>
          <t>SEREN</t>
        </is>
      </c>
      <c r="B6" s="17" t="inlineStr">
        <is>
          <t>Seren</t>
        </is>
      </c>
      <c r="C6" s="7" t="inlineStr">
        <is>
          <t>2.20 m (220 cm)</t>
        </is>
      </c>
      <c r="D6" s="20" t="n">
        <v>6435</v>
      </c>
      <c r="E6" s="19" t="n">
        <v>21352.8</v>
      </c>
      <c r="F6" s="8" t="n">
        <v>3.32</v>
      </c>
      <c r="G6" s="22" t="n">
        <v>0.07163118024028613</v>
      </c>
      <c r="H6" s="17" t="inlineStr">
        <is>
          <t>Hat 103, Hat 104, Hat 105</t>
        </is>
      </c>
      <c r="I6" s="21" t="inlineStr">
        <is>
          <t>3 hft</t>
        </is>
      </c>
      <c r="J6" s="20" t="n">
        <v>2145</v>
      </c>
      <c r="K6" s="19" t="n">
        <v>7117.6</v>
      </c>
    </row>
    <row r="7">
      <c r="A7" s="5" t="inlineStr">
        <is>
          <t>SEREN</t>
        </is>
      </c>
      <c r="B7" s="6" t="inlineStr">
        <is>
          <t>Seren</t>
        </is>
      </c>
      <c r="C7" s="7" t="inlineStr">
        <is>
          <t>2.50 m (250 cm)</t>
        </is>
      </c>
      <c r="D7" s="11" t="n">
        <v>132</v>
      </c>
      <c r="E7" s="10" t="n">
        <v>565</v>
      </c>
      <c r="F7" s="8" t="n">
        <v>4.28</v>
      </c>
      <c r="G7" s="15" t="n">
        <v>0.001895376619553195</v>
      </c>
      <c r="H7" s="6" t="inlineStr">
        <is>
          <t>Hat 104, Hat 105</t>
        </is>
      </c>
      <c r="I7" s="12" t="inlineStr">
        <is>
          <t>2 hft</t>
        </is>
      </c>
      <c r="J7" s="11" t="n">
        <v>66</v>
      </c>
      <c r="K7" s="10" t="n">
        <v>282.5</v>
      </c>
    </row>
    <row r="8">
      <c r="A8" s="16" t="inlineStr">
        <is>
          <t>50X80 PERVAZ</t>
        </is>
      </c>
      <c r="B8" s="17" t="inlineStr">
        <is>
          <t>Pervaz</t>
        </is>
      </c>
      <c r="C8" s="7" t="inlineStr">
        <is>
          <t>2.20 m (220 cm)</t>
        </is>
      </c>
      <c r="D8" s="20" t="n">
        <v>99195</v>
      </c>
      <c r="E8" s="19" t="n">
        <v>152534.6</v>
      </c>
      <c r="F8" s="8" t="n">
        <v>1.54</v>
      </c>
      <c r="G8" s="22" t="n">
        <v>0.8110382063249697</v>
      </c>
      <c r="H8" s="17" t="inlineStr">
        <is>
          <t>Hat 103, Hat 109</t>
        </is>
      </c>
      <c r="I8" s="21" t="inlineStr">
        <is>
          <t>13 hft</t>
        </is>
      </c>
      <c r="J8" s="20" t="n">
        <v>7630</v>
      </c>
      <c r="K8" s="19" t="n">
        <v>11733.4</v>
      </c>
    </row>
    <row r="9">
      <c r="A9" s="5" t="inlineStr">
        <is>
          <t>50X80 PERVAZ</t>
        </is>
      </c>
      <c r="B9" s="6" t="inlineStr">
        <is>
          <t>Pervaz</t>
        </is>
      </c>
      <c r="C9" s="7" t="inlineStr">
        <is>
          <t>2.50 m (250 cm)</t>
        </is>
      </c>
      <c r="D9" s="11" t="n">
        <v>11406</v>
      </c>
      <c r="E9" s="10" t="n">
        <v>18416.7</v>
      </c>
      <c r="F9" s="8" t="n">
        <v>1.61</v>
      </c>
      <c r="G9" s="15" t="n">
        <v>0.09792282594484032</v>
      </c>
      <c r="H9" s="6" t="inlineStr">
        <is>
          <t>Hat 103, Hat 109</t>
        </is>
      </c>
      <c r="I9" s="12" t="inlineStr">
        <is>
          <t>5 hft</t>
        </is>
      </c>
      <c r="J9" s="11" t="n">
        <v>2281</v>
      </c>
      <c r="K9" s="10" t="n">
        <v>3683.3</v>
      </c>
    </row>
    <row r="10">
      <c r="A10" s="16" t="inlineStr">
        <is>
          <t>50X80 PERVAZ</t>
        </is>
      </c>
      <c r="B10" s="17" t="inlineStr">
        <is>
          <t>Pervaz</t>
        </is>
      </c>
      <c r="C10" s="7" t="inlineStr">
        <is>
          <t>2.80 m (280 cm)</t>
        </is>
      </c>
      <c r="D10" s="20" t="n">
        <v>3700</v>
      </c>
      <c r="E10" s="19" t="n">
        <v>6490</v>
      </c>
      <c r="F10" s="8" t="n">
        <v>1.75</v>
      </c>
      <c r="G10" s="22" t="n">
        <v>0.03450782038131833</v>
      </c>
      <c r="H10" s="17" t="inlineStr">
        <is>
          <t>Hat 109</t>
        </is>
      </c>
      <c r="I10" s="21" t="inlineStr">
        <is>
          <t>2 hft</t>
        </is>
      </c>
      <c r="J10" s="20" t="n">
        <v>1850</v>
      </c>
      <c r="K10" s="19" t="n">
        <v>3245</v>
      </c>
    </row>
    <row r="11">
      <c r="A11" s="5" t="inlineStr">
        <is>
          <t>50X80 PERVAZ</t>
        </is>
      </c>
      <c r="B11" s="6" t="inlineStr">
        <is>
          <t>Pervaz</t>
        </is>
      </c>
      <c r="C11" s="7" t="inlineStr">
        <is>
          <t>2.26 m (226 cm)</t>
        </is>
      </c>
      <c r="D11" s="11" t="n">
        <v>3935</v>
      </c>
      <c r="E11" s="10" t="n">
        <v>6424</v>
      </c>
      <c r="F11" s="8" t="n">
        <v>1.63</v>
      </c>
      <c r="G11" s="15" t="n">
        <v>0.03415689339438966</v>
      </c>
      <c r="H11" s="6" t="inlineStr">
        <is>
          <t>Hat 103</t>
        </is>
      </c>
      <c r="I11" s="12" t="inlineStr">
        <is>
          <t>3 hft</t>
        </is>
      </c>
      <c r="J11" s="11" t="n">
        <v>1312</v>
      </c>
      <c r="K11" s="10" t="n">
        <v>2141.3</v>
      </c>
    </row>
    <row r="12">
      <c r="A12" s="16" t="inlineStr">
        <is>
          <t>50X80 PERVAZ</t>
        </is>
      </c>
      <c r="B12" s="17" t="inlineStr">
        <is>
          <t>Pervaz</t>
        </is>
      </c>
      <c r="C12" s="7" t="inlineStr">
        <is>
          <t>2.60 m (260 cm)</t>
        </is>
      </c>
      <c r="D12" s="20" t="n">
        <v>675</v>
      </c>
      <c r="E12" s="19" t="n">
        <v>1120</v>
      </c>
      <c r="F12" s="8" t="n">
        <v>1.66</v>
      </c>
      <c r="G12" s="22" t="n">
        <v>0.005955124626668185</v>
      </c>
      <c r="H12" s="17" t="inlineStr">
        <is>
          <t>Hat 109</t>
        </is>
      </c>
      <c r="I12" s="21" t="inlineStr">
        <is>
          <t>1 hft</t>
        </is>
      </c>
      <c r="J12" s="20" t="n">
        <v>675</v>
      </c>
      <c r="K12" s="19" t="n">
        <v>1120</v>
      </c>
    </row>
    <row r="13">
      <c r="A13" s="5" t="inlineStr">
        <is>
          <t>50X80 PERVAZ</t>
        </is>
      </c>
      <c r="B13" s="6" t="inlineStr">
        <is>
          <t>Pervaz</t>
        </is>
      </c>
      <c r="C13" s="7" t="inlineStr">
        <is>
          <t>2.15 m (215 cm)</t>
        </is>
      </c>
      <c r="D13" s="11" t="n">
        <v>555</v>
      </c>
      <c r="E13" s="10" t="n">
        <v>832</v>
      </c>
      <c r="F13" s="8" t="n">
        <v>1.5</v>
      </c>
      <c r="G13" s="15" t="n">
        <v>0.004423806865524938</v>
      </c>
      <c r="H13" s="6" t="inlineStr">
        <is>
          <t>Hat 109</t>
        </is>
      </c>
      <c r="I13" s="12" t="inlineStr">
        <is>
          <t>1 hft</t>
        </is>
      </c>
      <c r="J13" s="11" t="n">
        <v>555</v>
      </c>
      <c r="K13" s="10" t="n">
        <v>832</v>
      </c>
    </row>
    <row r="14">
      <c r="A14" s="16" t="inlineStr">
        <is>
          <t>50X80 PERVAZ</t>
        </is>
      </c>
      <c r="B14" s="17" t="inlineStr">
        <is>
          <t>Pervaz</t>
        </is>
      </c>
      <c r="C14" s="7" t="inlineStr">
        <is>
          <t>2.27 m (227 cm)</t>
        </is>
      </c>
      <c r="D14" s="20" t="n">
        <v>450</v>
      </c>
      <c r="E14" s="19" t="n">
        <v>828</v>
      </c>
      <c r="F14" s="8" t="n">
        <v>1.84</v>
      </c>
      <c r="G14" s="22" t="n">
        <v>0.004402538563286837</v>
      </c>
      <c r="H14" s="17" t="inlineStr">
        <is>
          <t>Hat 103</t>
        </is>
      </c>
      <c r="I14" s="21" t="inlineStr">
        <is>
          <t>1 hft</t>
        </is>
      </c>
      <c r="J14" s="20" t="n">
        <v>450</v>
      </c>
      <c r="K14" s="19" t="n">
        <v>828</v>
      </c>
    </row>
    <row r="15">
      <c r="A15" s="5" t="inlineStr">
        <is>
          <t>50X80 PERVAZ</t>
        </is>
      </c>
      <c r="B15" s="6" t="inlineStr">
        <is>
          <t>Pervaz</t>
        </is>
      </c>
      <c r="C15" s="7" t="inlineStr">
        <is>
          <t>2.25 m (225 cm)</t>
        </is>
      </c>
      <c r="D15" s="11" t="n">
        <v>445</v>
      </c>
      <c r="E15" s="10" t="n">
        <v>622</v>
      </c>
      <c r="F15" s="8" t="n">
        <v>1.4</v>
      </c>
      <c r="G15" s="15" t="n">
        <v>0.003307220998024653</v>
      </c>
      <c r="H15" s="6" t="inlineStr">
        <is>
          <t>Hat 109</t>
        </is>
      </c>
      <c r="I15" s="12" t="inlineStr">
        <is>
          <t>1 hft</t>
        </is>
      </c>
      <c r="J15" s="11" t="n">
        <v>445</v>
      </c>
      <c r="K15" s="10" t="n">
        <v>622</v>
      </c>
    </row>
    <row r="16">
      <c r="A16" s="16" t="inlineStr">
        <is>
          <t>50X80 PERVAZ</t>
        </is>
      </c>
      <c r="B16" s="17" t="inlineStr">
        <is>
          <t>Pervaz</t>
        </is>
      </c>
      <c r="C16" s="7" t="inlineStr">
        <is>
          <t>2.10 m (210 cm)</t>
        </is>
      </c>
      <c r="D16" s="20" t="n">
        <v>285</v>
      </c>
      <c r="E16" s="19" t="n">
        <v>527</v>
      </c>
      <c r="F16" s="8" t="n">
        <v>1.85</v>
      </c>
      <c r="G16" s="22" t="n">
        <v>0.002802098819869762</v>
      </c>
      <c r="H16" s="17" t="inlineStr">
        <is>
          <t>Hat 103</t>
        </is>
      </c>
      <c r="I16" s="21" t="inlineStr">
        <is>
          <t>1 hft</t>
        </is>
      </c>
      <c r="J16" s="20" t="n">
        <v>285</v>
      </c>
      <c r="K16" s="19" t="n">
        <v>527</v>
      </c>
    </row>
    <row r="17">
      <c r="A17" s="5" t="inlineStr">
        <is>
          <t>50X80 PERVAZ</t>
        </is>
      </c>
      <c r="B17" s="6" t="inlineStr">
        <is>
          <t>Pervaz</t>
        </is>
      </c>
      <c r="C17" s="7" t="inlineStr">
        <is>
          <t>2.22 m (222 cm)</t>
        </is>
      </c>
      <c r="D17" s="11" t="n">
        <v>180</v>
      </c>
      <c r="E17" s="10" t="n">
        <v>279</v>
      </c>
      <c r="F17" s="8" t="n">
        <v>1.55</v>
      </c>
      <c r="G17" s="15" t="n">
        <v>0.001483464081107521</v>
      </c>
      <c r="H17" s="6" t="inlineStr">
        <is>
          <t>Hat 109</t>
        </is>
      </c>
      <c r="I17" s="12" t="inlineStr">
        <is>
          <t>1 hft</t>
        </is>
      </c>
      <c r="J17" s="11" t="n">
        <v>180</v>
      </c>
      <c r="K17" s="10" t="n">
        <v>279</v>
      </c>
    </row>
    <row r="18">
      <c r="A18" s="16" t="inlineStr">
        <is>
          <t>140 mm KASA</t>
        </is>
      </c>
      <c r="B18" s="17" t="inlineStr">
        <is>
          <t>Kasa</t>
        </is>
      </c>
      <c r="C18" s="7" t="inlineStr">
        <is>
          <t>2.15 m (215 cm)</t>
        </is>
      </c>
      <c r="D18" s="20" t="n">
        <v>21988</v>
      </c>
      <c r="E18" s="19" t="n">
        <v>111523</v>
      </c>
      <c r="F18" s="8" t="n">
        <v>5.07</v>
      </c>
      <c r="G18" s="22" t="n">
        <v>0.6450331125827815</v>
      </c>
      <c r="H18" s="17" t="inlineStr">
        <is>
          <t>Hat 102, Hat 106, Hat 107, Hat 108</t>
        </is>
      </c>
      <c r="I18" s="21" t="inlineStr">
        <is>
          <t>13 hft</t>
        </is>
      </c>
      <c r="J18" s="20" t="n">
        <v>1691</v>
      </c>
      <c r="K18" s="19" t="n">
        <v>8578.700000000001</v>
      </c>
    </row>
    <row r="19">
      <c r="A19" s="5" t="inlineStr">
        <is>
          <t>140 mm KASA</t>
        </is>
      </c>
      <c r="B19" s="6" t="inlineStr">
        <is>
          <t>Kasa</t>
        </is>
      </c>
      <c r="C19" s="7" t="inlineStr">
        <is>
          <t>2.45 m (245 cm)</t>
        </is>
      </c>
      <c r="D19" s="11" t="n">
        <v>8519</v>
      </c>
      <c r="E19" s="10" t="n">
        <v>39423</v>
      </c>
      <c r="F19" s="8" t="n">
        <v>4.63</v>
      </c>
      <c r="G19" s="15" t="n">
        <v>0.2280170045403279</v>
      </c>
      <c r="H19" s="6" t="inlineStr">
        <is>
          <t>Hat 102, Hat 106, Hat 107, Hat 108</t>
        </is>
      </c>
      <c r="I19" s="12" t="inlineStr">
        <is>
          <t>6 hft</t>
        </is>
      </c>
      <c r="J19" s="11" t="n">
        <v>1420</v>
      </c>
      <c r="K19" s="10" t="n">
        <v>6570.5</v>
      </c>
    </row>
    <row r="20">
      <c r="A20" s="16" t="inlineStr">
        <is>
          <t>140 mm KASA</t>
        </is>
      </c>
      <c r="B20" s="17" t="inlineStr">
        <is>
          <t>Kasa</t>
        </is>
      </c>
      <c r="C20" s="7" t="inlineStr">
        <is>
          <t>2.22 m (222 cm)</t>
        </is>
      </c>
      <c r="D20" s="20" t="n">
        <v>3995</v>
      </c>
      <c r="E20" s="19" t="n">
        <v>21023</v>
      </c>
      <c r="F20" s="8" t="n">
        <v>5.26</v>
      </c>
      <c r="G20" s="22" t="n">
        <v>0.1215940310593135</v>
      </c>
      <c r="H20" s="17" t="inlineStr">
        <is>
          <t>Hat 102, Hat 106</t>
        </is>
      </c>
      <c r="I20" s="21" t="inlineStr">
        <is>
          <t>5 hft</t>
        </is>
      </c>
      <c r="J20" s="20" t="n">
        <v>799</v>
      </c>
      <c r="K20" s="19" t="n">
        <v>4204.6</v>
      </c>
    </row>
    <row r="21">
      <c r="A21" s="5" t="inlineStr">
        <is>
          <t>140 mm KASA</t>
        </is>
      </c>
      <c r="B21" s="6" t="inlineStr">
        <is>
          <t>Kasa</t>
        </is>
      </c>
      <c r="C21" s="7" t="inlineStr">
        <is>
          <t>2.10 m (210 cm)</t>
        </is>
      </c>
      <c r="D21" s="11" t="n">
        <v>209</v>
      </c>
      <c r="E21" s="10" t="n">
        <v>716</v>
      </c>
      <c r="F21" s="8" t="n">
        <v>3.43</v>
      </c>
      <c r="G21" s="15" t="n">
        <v>0.00414124179415252</v>
      </c>
      <c r="H21" s="6" t="inlineStr">
        <is>
          <t>Hat 105</t>
        </is>
      </c>
      <c r="I21" s="12" t="inlineStr">
        <is>
          <t>1 hft</t>
        </is>
      </c>
      <c r="J21" s="11" t="n">
        <v>209</v>
      </c>
      <c r="K21" s="10" t="n">
        <v>716</v>
      </c>
    </row>
    <row r="22">
      <c r="A22" s="16" t="inlineStr">
        <is>
          <t>140 mm KASA</t>
        </is>
      </c>
      <c r="B22" s="17" t="inlineStr">
        <is>
          <t>Kasa</t>
        </is>
      </c>
      <c r="C22" s="7" t="inlineStr">
        <is>
          <t>2.28 m (228 cm)</t>
        </is>
      </c>
      <c r="D22" s="20" t="n">
        <v>35</v>
      </c>
      <c r="E22" s="19" t="n">
        <v>210</v>
      </c>
      <c r="F22" s="8" t="n">
        <v>6</v>
      </c>
      <c r="G22" s="22" t="n">
        <v>0.001214610023424622</v>
      </c>
      <c r="H22" s="17" t="inlineStr">
        <is>
          <t>Hat 102</t>
        </is>
      </c>
      <c r="I22" s="21" t="inlineStr">
        <is>
          <t>1 hft</t>
        </is>
      </c>
      <c r="J22" s="20" t="n">
        <v>35</v>
      </c>
      <c r="K22" s="19" t="n">
        <v>210</v>
      </c>
    </row>
    <row r="23">
      <c r="A23" s="5" t="inlineStr">
        <is>
          <t>100 mm KASA</t>
        </is>
      </c>
      <c r="B23" s="6" t="inlineStr">
        <is>
          <t>Kasa</t>
        </is>
      </c>
      <c r="C23" s="7" t="inlineStr">
        <is>
          <t>2.15 m (215 cm)</t>
        </is>
      </c>
      <c r="D23" s="11" t="n">
        <v>32052</v>
      </c>
      <c r="E23" s="10" t="n">
        <v>127487.8</v>
      </c>
      <c r="F23" s="8" t="n">
        <v>3.98</v>
      </c>
      <c r="G23" s="15" t="n">
        <v>0.9595086243619599</v>
      </c>
      <c r="H23" s="6" t="inlineStr">
        <is>
          <t>Hat 102, Hat 106, Hat 107, Hat 108</t>
        </is>
      </c>
      <c r="I23" s="12" t="inlineStr">
        <is>
          <t>13 hft</t>
        </is>
      </c>
      <c r="J23" s="11" t="n">
        <v>2466</v>
      </c>
      <c r="K23" s="10" t="n">
        <v>9806.799999999999</v>
      </c>
    </row>
    <row r="24">
      <c r="A24" s="16" t="inlineStr">
        <is>
          <t>100 mm KASA</t>
        </is>
      </c>
      <c r="B24" s="17" t="inlineStr">
        <is>
          <t>Kasa</t>
        </is>
      </c>
      <c r="C24" s="7" t="inlineStr">
        <is>
          <t>2.22 m (222 cm)</t>
        </is>
      </c>
      <c r="D24" s="20" t="n">
        <v>615</v>
      </c>
      <c r="E24" s="19" t="n">
        <v>2459</v>
      </c>
      <c r="F24" s="8" t="n">
        <v>4</v>
      </c>
      <c r="G24" s="22" t="n">
        <v>0.01850711760110426</v>
      </c>
      <c r="H24" s="17" t="inlineStr">
        <is>
          <t>Hat 108</t>
        </is>
      </c>
      <c r="I24" s="21" t="inlineStr">
        <is>
          <t>1 hft</t>
        </is>
      </c>
      <c r="J24" s="20" t="n">
        <v>615</v>
      </c>
      <c r="K24" s="19" t="n">
        <v>2459</v>
      </c>
    </row>
    <row r="25">
      <c r="A25" s="5" t="inlineStr">
        <is>
          <t>100 mm KASA</t>
        </is>
      </c>
      <c r="B25" s="6" t="inlineStr">
        <is>
          <t>Kasa</t>
        </is>
      </c>
      <c r="C25" s="7" t="inlineStr">
        <is>
          <t>2.45 m (245 cm)</t>
        </is>
      </c>
      <c r="D25" s="11" t="n">
        <v>315</v>
      </c>
      <c r="E25" s="10" t="n">
        <v>1261</v>
      </c>
      <c r="F25" s="8" t="n">
        <v>4</v>
      </c>
      <c r="G25" s="15" t="n">
        <v>0.009490636557540654</v>
      </c>
      <c r="H25" s="6" t="inlineStr">
        <is>
          <t>Hat 102</t>
        </is>
      </c>
      <c r="I25" s="12" t="inlineStr">
        <is>
          <t>2 hft</t>
        </is>
      </c>
      <c r="J25" s="11" t="n">
        <v>158</v>
      </c>
      <c r="K25" s="10" t="n">
        <v>630.5</v>
      </c>
    </row>
    <row r="26">
      <c r="A26" s="16" t="inlineStr">
        <is>
          <t>100 mm KASA</t>
        </is>
      </c>
      <c r="B26" s="17" t="inlineStr">
        <is>
          <t>Kasa</t>
        </is>
      </c>
      <c r="C26" s="7" t="inlineStr">
        <is>
          <t>2.60 m (260 cm)</t>
        </is>
      </c>
      <c r="D26" s="20" t="n">
        <v>232</v>
      </c>
      <c r="E26" s="19" t="n">
        <v>1142</v>
      </c>
      <c r="F26" s="8" t="n">
        <v>4.92</v>
      </c>
      <c r="G26" s="22" t="n">
        <v>0.008595009475584002</v>
      </c>
      <c r="H26" s="17" t="inlineStr">
        <is>
          <t>Hat 102</t>
        </is>
      </c>
      <c r="I26" s="21" t="inlineStr">
        <is>
          <t>1 hft</t>
        </is>
      </c>
      <c r="J26" s="20" t="n">
        <v>232</v>
      </c>
      <c r="K26" s="19" t="n">
        <v>1142</v>
      </c>
    </row>
    <row r="27">
      <c r="A27" s="5" t="inlineStr">
        <is>
          <t>100 mm KASA</t>
        </is>
      </c>
      <c r="B27" s="6" t="inlineStr">
        <is>
          <t>Kasa</t>
        </is>
      </c>
      <c r="C27" s="7" t="inlineStr">
        <is>
          <t>2.20 m (220 cm)</t>
        </is>
      </c>
      <c r="D27" s="11" t="n">
        <v>65</v>
      </c>
      <c r="E27" s="10" t="n">
        <v>266</v>
      </c>
      <c r="F27" s="8" t="n">
        <v>4.09</v>
      </c>
      <c r="G27" s="15" t="n">
        <v>0.002001989947903104</v>
      </c>
      <c r="H27" s="6" t="inlineStr">
        <is>
          <t>Hat 108</t>
        </is>
      </c>
      <c r="I27" s="12" t="inlineStr">
        <is>
          <t>1 hft</t>
        </is>
      </c>
      <c r="J27" s="11" t="n">
        <v>65</v>
      </c>
      <c r="K27" s="10" t="n">
        <v>266</v>
      </c>
    </row>
    <row r="28">
      <c r="A28" s="16" t="inlineStr">
        <is>
          <t>100 mm KASA</t>
        </is>
      </c>
      <c r="B28" s="17" t="inlineStr">
        <is>
          <t>Kasa</t>
        </is>
      </c>
      <c r="C28" s="7" t="inlineStr">
        <is>
          <t>2.50 m (250 cm)</t>
        </is>
      </c>
      <c r="D28" s="20" t="n">
        <v>60</v>
      </c>
      <c r="E28" s="19" t="n">
        <v>252</v>
      </c>
      <c r="F28" s="8" t="n">
        <v>4.2</v>
      </c>
      <c r="G28" s="22" t="n">
        <v>0.001896622055908204</v>
      </c>
      <c r="H28" s="17" t="inlineStr">
        <is>
          <t>Hat 108</t>
        </is>
      </c>
      <c r="I28" s="21" t="inlineStr">
        <is>
          <t>1 hft</t>
        </is>
      </c>
      <c r="J28" s="20" t="n">
        <v>60</v>
      </c>
      <c r="K28" s="19" t="n">
        <v>252</v>
      </c>
    </row>
    <row r="29">
      <c r="A29" s="5" t="inlineStr">
        <is>
          <t>DIŞBUDAK Levha</t>
        </is>
      </c>
      <c r="B29" s="6" t="inlineStr">
        <is>
          <t>Levha</t>
        </is>
      </c>
      <c r="C29" s="7" t="inlineStr">
        <is>
          <t>94x207 cm (0.94x2.07 m)</t>
        </is>
      </c>
      <c r="D29" s="23" t="n">
        <v>17980</v>
      </c>
      <c r="E29" s="10" t="n">
        <v>85714.39999999999</v>
      </c>
      <c r="F29" s="8" t="n">
        <v>4.77</v>
      </c>
      <c r="G29" s="15" t="n">
        <v>0.7159493273338469</v>
      </c>
      <c r="H29" s="6" t="inlineStr">
        <is>
          <t>Hat 201</t>
        </is>
      </c>
      <c r="I29" s="12" t="inlineStr">
        <is>
          <t>11 hft</t>
        </is>
      </c>
      <c r="J29" s="23" t="n">
        <v>1635</v>
      </c>
      <c r="K29" s="10" t="n">
        <v>7792.2</v>
      </c>
    </row>
    <row r="30">
      <c r="A30" s="16" t="inlineStr">
        <is>
          <t>DIŞBUDAK Levha</t>
        </is>
      </c>
      <c r="B30" s="17" t="inlineStr">
        <is>
          <t>Levha</t>
        </is>
      </c>
      <c r="C30" s="7" t="inlineStr">
        <is>
          <t>93x208 cm (0.93x2.08 m)</t>
        </is>
      </c>
      <c r="D30" s="25" t="n">
        <v>4865</v>
      </c>
      <c r="E30" s="19" t="n">
        <v>23056.6</v>
      </c>
      <c r="F30" s="8" t="n">
        <v>4.74</v>
      </c>
      <c r="G30" s="22" t="n">
        <v>0.19258553298973</v>
      </c>
      <c r="H30" s="17" t="inlineStr">
        <is>
          <t>Hat 201</t>
        </is>
      </c>
      <c r="I30" s="21" t="inlineStr">
        <is>
          <t>4 hft</t>
        </is>
      </c>
      <c r="J30" s="25" t="n">
        <v>1216</v>
      </c>
      <c r="K30" s="19" t="n">
        <v>5764.1</v>
      </c>
    </row>
    <row r="31">
      <c r="A31" s="5" t="inlineStr">
        <is>
          <t>DIŞBUDAK Levha</t>
        </is>
      </c>
      <c r="B31" s="6" t="inlineStr">
        <is>
          <t>Levha</t>
        </is>
      </c>
      <c r="C31" s="7" t="inlineStr">
        <is>
          <t>94x208 cm (0.94x2.08 m)</t>
        </is>
      </c>
      <c r="D31" s="23" t="n">
        <v>1925</v>
      </c>
      <c r="E31" s="10" t="n">
        <v>9221.200000000001</v>
      </c>
      <c r="F31" s="8" t="n">
        <v>4.79</v>
      </c>
      <c r="G31" s="15" t="n">
        <v>0.0770222687933272</v>
      </c>
      <c r="H31" s="6" t="inlineStr">
        <is>
          <t>Hat 201</t>
        </is>
      </c>
      <c r="I31" s="12" t="inlineStr">
        <is>
          <t>6 hft</t>
        </is>
      </c>
      <c r="J31" s="23" t="n">
        <v>321</v>
      </c>
      <c r="K31" s="10" t="n">
        <v>1536.9</v>
      </c>
    </row>
    <row r="32">
      <c r="A32" s="16" t="inlineStr">
        <is>
          <t>DIŞBUDAK Levha</t>
        </is>
      </c>
      <c r="B32" s="17" t="inlineStr">
        <is>
          <t>Levha</t>
        </is>
      </c>
      <c r="C32" s="7" t="inlineStr">
        <is>
          <t>93x211 cm (0.93x2.11 m)</t>
        </is>
      </c>
      <c r="D32" s="25" t="n">
        <v>200</v>
      </c>
      <c r="E32" s="19" t="n">
        <v>961.5</v>
      </c>
      <c r="F32" s="8" t="n">
        <v>4.81</v>
      </c>
      <c r="G32" s="22" t="n">
        <v>0.008031399579105985</v>
      </c>
      <c r="H32" s="17" t="inlineStr">
        <is>
          <t>Hat 201</t>
        </is>
      </c>
      <c r="I32" s="21" t="inlineStr">
        <is>
          <t>1 hft</t>
        </is>
      </c>
      <c r="J32" s="25" t="n">
        <v>200</v>
      </c>
      <c r="K32" s="19" t="n">
        <v>961.5</v>
      </c>
    </row>
    <row r="33">
      <c r="A33" s="5" t="inlineStr">
        <is>
          <t>DIŞBUDAK Levha</t>
        </is>
      </c>
      <c r="B33" s="6" t="inlineStr">
        <is>
          <t>Levha</t>
        </is>
      </c>
      <c r="C33" s="7" t="inlineStr">
        <is>
          <t>94x248 cm (0.94x2.48 m)</t>
        </is>
      </c>
      <c r="D33" s="23" t="n">
        <v>85</v>
      </c>
      <c r="E33" s="10" t="n">
        <v>485.5</v>
      </c>
      <c r="F33" s="8" t="n">
        <v>5.71</v>
      </c>
      <c r="G33" s="15" t="n">
        <v>0.004054999379809869</v>
      </c>
      <c r="H33" s="6" t="inlineStr">
        <is>
          <t>Hat 201</t>
        </is>
      </c>
      <c r="I33" s="12" t="inlineStr">
        <is>
          <t>1 hft</t>
        </is>
      </c>
      <c r="J33" s="23" t="n">
        <v>85</v>
      </c>
      <c r="K33" s="10" t="n">
        <v>485.5</v>
      </c>
    </row>
    <row r="34">
      <c r="A34" s="16" t="inlineStr">
        <is>
          <t>DIŞBUDAK Levha</t>
        </is>
      </c>
      <c r="B34" s="17" t="inlineStr">
        <is>
          <t>Levha</t>
        </is>
      </c>
      <c r="C34" s="7" t="inlineStr">
        <is>
          <t>94x250 cm (0.94x2.50 m)</t>
        </is>
      </c>
      <c r="D34" s="25" t="n">
        <v>49</v>
      </c>
      <c r="E34" s="19" t="n">
        <v>282.1</v>
      </c>
      <c r="F34" s="8" t="n">
        <v>5.76</v>
      </c>
      <c r="G34" s="22" t="n">
        <v>0.002356471924180609</v>
      </c>
      <c r="H34" s="17" t="inlineStr">
        <is>
          <t>Hat 201</t>
        </is>
      </c>
      <c r="I34" s="21" t="inlineStr">
        <is>
          <t>1 hft</t>
        </is>
      </c>
      <c r="J34" s="25" t="n">
        <v>49</v>
      </c>
      <c r="K34" s="19" t="n">
        <v>282.1</v>
      </c>
    </row>
    <row r="35">
      <c r="A35" s="5" t="inlineStr">
        <is>
          <t>200 mm KASA</t>
        </is>
      </c>
      <c r="B35" s="6" t="inlineStr">
        <is>
          <t>Kasa</t>
        </is>
      </c>
      <c r="C35" s="7" t="inlineStr">
        <is>
          <t>2.15 m (215 cm)</t>
        </is>
      </c>
      <c r="D35" s="11" t="n">
        <v>8604</v>
      </c>
      <c r="E35" s="10" t="n">
        <v>55287</v>
      </c>
      <c r="F35" s="8" t="n">
        <v>6.43</v>
      </c>
      <c r="G35" s="15" t="n">
        <v>0.6797693404809915</v>
      </c>
      <c r="H35" s="6" t="inlineStr">
        <is>
          <t>Hat 106, Hat 107, Hat 108</t>
        </is>
      </c>
      <c r="I35" s="12" t="inlineStr">
        <is>
          <t>9 hft</t>
        </is>
      </c>
      <c r="J35" s="11" t="n">
        <v>956</v>
      </c>
      <c r="K35" s="10" t="n">
        <v>6143</v>
      </c>
    </row>
    <row r="36">
      <c r="A36" s="16" t="inlineStr">
        <is>
          <t>200 mm KASA</t>
        </is>
      </c>
      <c r="B36" s="17" t="inlineStr">
        <is>
          <t>Kasa</t>
        </is>
      </c>
      <c r="C36" s="7" t="inlineStr">
        <is>
          <t>2.45 m (245 cm)</t>
        </is>
      </c>
      <c r="D36" s="20" t="n">
        <v>2845</v>
      </c>
      <c r="E36" s="19" t="n">
        <v>21167</v>
      </c>
      <c r="F36" s="8" t="n">
        <v>7.44</v>
      </c>
      <c r="G36" s="22" t="n">
        <v>0.2602542664633846</v>
      </c>
      <c r="H36" s="17" t="inlineStr">
        <is>
          <t>Hat 107</t>
        </is>
      </c>
      <c r="I36" s="21" t="inlineStr">
        <is>
          <t>5 hft</t>
        </is>
      </c>
      <c r="J36" s="20" t="n">
        <v>569</v>
      </c>
      <c r="K36" s="19" t="n">
        <v>4233.4</v>
      </c>
    </row>
    <row r="37">
      <c r="A37" s="5" t="inlineStr">
        <is>
          <t>200 mm KASA</t>
        </is>
      </c>
      <c r="B37" s="6" t="inlineStr">
        <is>
          <t>Kasa</t>
        </is>
      </c>
      <c r="C37" s="7" t="inlineStr">
        <is>
          <t>2.22 m (222 cm)</t>
        </is>
      </c>
      <c r="D37" s="11" t="n">
        <v>593</v>
      </c>
      <c r="E37" s="10" t="n">
        <v>3650</v>
      </c>
      <c r="F37" s="8" t="n">
        <v>6.16</v>
      </c>
      <c r="G37" s="15" t="n">
        <v>0.04487778488171938</v>
      </c>
      <c r="H37" s="6" t="inlineStr">
        <is>
          <t>Hat 107, Hat 108</t>
        </is>
      </c>
      <c r="I37" s="12" t="inlineStr">
        <is>
          <t>2 hft</t>
        </is>
      </c>
      <c r="J37" s="11" t="n">
        <v>296</v>
      </c>
      <c r="K37" s="10" t="n">
        <v>1825</v>
      </c>
    </row>
    <row r="38">
      <c r="A38" s="16" t="inlineStr">
        <is>
          <t>200 mm KASA</t>
        </is>
      </c>
      <c r="B38" s="17" t="inlineStr">
        <is>
          <t>Kasa</t>
        </is>
      </c>
      <c r="C38" s="7" t="inlineStr">
        <is>
          <t>2.20 m (220 cm)</t>
        </is>
      </c>
      <c r="D38" s="20" t="n">
        <v>175</v>
      </c>
      <c r="E38" s="19" t="n">
        <v>1228</v>
      </c>
      <c r="F38" s="8" t="n">
        <v>7.02</v>
      </c>
      <c r="G38" s="22" t="n">
        <v>0.01509860817390449</v>
      </c>
      <c r="H38" s="17" t="inlineStr">
        <is>
          <t>Hat 107</t>
        </is>
      </c>
      <c r="I38" s="21" t="inlineStr">
        <is>
          <t>1 hft</t>
        </is>
      </c>
      <c r="J38" s="20" t="n">
        <v>175</v>
      </c>
      <c r="K38" s="19" t="n">
        <v>1228</v>
      </c>
    </row>
    <row r="39">
      <c r="A39" s="5" t="inlineStr">
        <is>
          <t>TEAK Levha</t>
        </is>
      </c>
      <c r="B39" s="6" t="inlineStr">
        <is>
          <t>Levha</t>
        </is>
      </c>
      <c r="C39" s="7" t="inlineStr">
        <is>
          <t>85x210 cm (0.85x2.10 m)</t>
        </is>
      </c>
      <c r="D39" s="23" t="n">
        <v>1900</v>
      </c>
      <c r="E39" s="10" t="n">
        <v>8309.200000000001</v>
      </c>
      <c r="F39" s="8" t="n">
        <v>4.37</v>
      </c>
      <c r="G39" s="15" t="n">
        <v>0.2090571698212422</v>
      </c>
      <c r="H39" s="6" t="inlineStr">
        <is>
          <t>Hat 201</t>
        </is>
      </c>
      <c r="I39" s="12" t="inlineStr">
        <is>
          <t>3 hft</t>
        </is>
      </c>
      <c r="J39" s="23" t="n">
        <v>633</v>
      </c>
      <c r="K39" s="10" t="n">
        <v>2769.7</v>
      </c>
    </row>
    <row r="40">
      <c r="A40" s="16" t="inlineStr">
        <is>
          <t>TEAK Levha</t>
        </is>
      </c>
      <c r="B40" s="17" t="inlineStr">
        <is>
          <t>Levha</t>
        </is>
      </c>
      <c r="C40" s="7" t="inlineStr">
        <is>
          <t>75x210 cm (0.75x2.10 m)</t>
        </is>
      </c>
      <c r="D40" s="25" t="n">
        <v>1605</v>
      </c>
      <c r="E40" s="19" t="n">
        <v>6193.3</v>
      </c>
      <c r="F40" s="8" t="n">
        <v>3.86</v>
      </c>
      <c r="G40" s="22" t="n">
        <v>0.1558220871197759</v>
      </c>
      <c r="H40" s="17" t="inlineStr">
        <is>
          <t>Hat 201</t>
        </is>
      </c>
      <c r="I40" s="21" t="inlineStr">
        <is>
          <t>4 hft</t>
        </is>
      </c>
      <c r="J40" s="25" t="n">
        <v>401</v>
      </c>
      <c r="K40" s="19" t="n">
        <v>1548.3</v>
      </c>
    </row>
    <row r="41">
      <c r="A41" s="5" t="inlineStr">
        <is>
          <t>TEAK Levha</t>
        </is>
      </c>
      <c r="B41" s="6" t="inlineStr">
        <is>
          <t>Levha</t>
        </is>
      </c>
      <c r="C41" s="7" t="inlineStr">
        <is>
          <t>75x215 cm (0.75x2.15 m)</t>
        </is>
      </c>
      <c r="D41" s="23" t="n">
        <v>1275</v>
      </c>
      <c r="E41" s="10" t="n">
        <v>5037.1</v>
      </c>
      <c r="F41" s="8" t="n">
        <v>3.95</v>
      </c>
      <c r="G41" s="15" t="n">
        <v>0.1267310874536462</v>
      </c>
      <c r="H41" s="6" t="inlineStr">
        <is>
          <t>Hat 201</t>
        </is>
      </c>
      <c r="I41" s="12" t="inlineStr">
        <is>
          <t>3 hft</t>
        </is>
      </c>
      <c r="J41" s="23" t="n">
        <v>425</v>
      </c>
      <c r="K41" s="10" t="n">
        <v>1679</v>
      </c>
    </row>
    <row r="42">
      <c r="A42" s="16" t="inlineStr">
        <is>
          <t>TEAK Levha</t>
        </is>
      </c>
      <c r="B42" s="17" t="inlineStr">
        <is>
          <t>Levha</t>
        </is>
      </c>
      <c r="C42" s="7" t="inlineStr">
        <is>
          <t>75x211 cm (0.75x2.11 m)</t>
        </is>
      </c>
      <c r="D42" s="25" t="n">
        <v>1215</v>
      </c>
      <c r="E42" s="19" t="n">
        <v>4710.7</v>
      </c>
      <c r="F42" s="8" t="n">
        <v>3.88</v>
      </c>
      <c r="G42" s="22" t="n">
        <v>0.1185201921100428</v>
      </c>
      <c r="H42" s="17" t="inlineStr">
        <is>
          <t>Hat 201</t>
        </is>
      </c>
      <c r="I42" s="21" t="inlineStr">
        <is>
          <t>3 hft</t>
        </is>
      </c>
      <c r="J42" s="25" t="n">
        <v>405</v>
      </c>
      <c r="K42" s="19" t="n">
        <v>1570.2</v>
      </c>
    </row>
    <row r="43">
      <c r="A43" s="5" t="inlineStr">
        <is>
          <t>TEAK Levha</t>
        </is>
      </c>
      <c r="B43" s="6" t="inlineStr">
        <is>
          <t>Levha</t>
        </is>
      </c>
      <c r="C43" s="7" t="inlineStr">
        <is>
          <t>94x207 cm (0.94x2.07 m)</t>
        </is>
      </c>
      <c r="D43" s="23" t="n">
        <v>750</v>
      </c>
      <c r="E43" s="10" t="n">
        <v>3575.4</v>
      </c>
      <c r="F43" s="8" t="n">
        <v>4.77</v>
      </c>
      <c r="G43" s="15" t="n">
        <v>0.08995628990813405</v>
      </c>
      <c r="H43" s="6" t="inlineStr">
        <is>
          <t>Hat 201</t>
        </is>
      </c>
      <c r="I43" s="12" t="inlineStr">
        <is>
          <t>3 hft</t>
        </is>
      </c>
      <c r="J43" s="23" t="n">
        <v>250</v>
      </c>
      <c r="K43" s="10" t="n">
        <v>1191.8</v>
      </c>
    </row>
    <row r="44">
      <c r="A44" s="16" t="inlineStr">
        <is>
          <t>TEAK Levha</t>
        </is>
      </c>
      <c r="B44" s="17" t="inlineStr">
        <is>
          <t>Levha</t>
        </is>
      </c>
      <c r="C44" s="7" t="inlineStr">
        <is>
          <t>94x210 cm (0.94x2.10 m)</t>
        </is>
      </c>
      <c r="D44" s="25" t="n">
        <v>625</v>
      </c>
      <c r="E44" s="19" t="n">
        <v>3022.7</v>
      </c>
      <c r="F44" s="8" t="n">
        <v>4.84</v>
      </c>
      <c r="G44" s="22" t="n">
        <v>0.07605022597259545</v>
      </c>
      <c r="H44" s="17" t="inlineStr">
        <is>
          <t>Hat 201</t>
        </is>
      </c>
      <c r="I44" s="21" t="inlineStr">
        <is>
          <t>3 hft</t>
        </is>
      </c>
      <c r="J44" s="25" t="n">
        <v>208</v>
      </c>
      <c r="K44" s="19" t="n">
        <v>1007.6</v>
      </c>
    </row>
    <row r="45">
      <c r="A45" s="5" t="inlineStr">
        <is>
          <t>TEAK Levha</t>
        </is>
      </c>
      <c r="B45" s="6" t="inlineStr">
        <is>
          <t>Levha</t>
        </is>
      </c>
      <c r="C45" s="7" t="inlineStr">
        <is>
          <t>93x208 cm (0.93x2.08 m)</t>
        </is>
      </c>
      <c r="D45" s="23" t="n">
        <v>330</v>
      </c>
      <c r="E45" s="10" t="n">
        <v>1564</v>
      </c>
      <c r="F45" s="8" t="n">
        <v>4.74</v>
      </c>
      <c r="G45" s="15" t="n">
        <v>0.03934889499488878</v>
      </c>
      <c r="H45" s="6" t="inlineStr">
        <is>
          <t>Hat 201</t>
        </is>
      </c>
      <c r="I45" s="12" t="inlineStr">
        <is>
          <t>1 hft</t>
        </is>
      </c>
      <c r="J45" s="23" t="n">
        <v>330</v>
      </c>
      <c r="K45" s="10" t="n">
        <v>1564</v>
      </c>
    </row>
    <row r="46">
      <c r="A46" s="16" t="inlineStr">
        <is>
          <t>TEAK Levha</t>
        </is>
      </c>
      <c r="B46" s="17" t="inlineStr">
        <is>
          <t>Levha</t>
        </is>
      </c>
      <c r="C46" s="7" t="inlineStr">
        <is>
          <t>94x211 cm (0.94x2.11 m)</t>
        </is>
      </c>
      <c r="D46" s="25" t="n">
        <v>300</v>
      </c>
      <c r="E46" s="19" t="n">
        <v>1457.8</v>
      </c>
      <c r="F46" s="8" t="n">
        <v>4.86</v>
      </c>
      <c r="G46" s="22" t="n">
        <v>0.03667793237905628</v>
      </c>
      <c r="H46" s="17" t="inlineStr">
        <is>
          <t>Hat 201</t>
        </is>
      </c>
      <c r="I46" s="21" t="inlineStr">
        <is>
          <t>1 hft</t>
        </is>
      </c>
      <c r="J46" s="25" t="n">
        <v>300</v>
      </c>
      <c r="K46" s="19" t="n">
        <v>1457.8</v>
      </c>
    </row>
    <row r="47">
      <c r="A47" s="5" t="inlineStr">
        <is>
          <t>TEAK Levha</t>
        </is>
      </c>
      <c r="B47" s="6" t="inlineStr">
        <is>
          <t>Levha</t>
        </is>
      </c>
      <c r="C47" s="7" t="inlineStr">
        <is>
          <t>93x211 cm (0.93x2.11 m)</t>
        </is>
      </c>
      <c r="D47" s="23" t="n">
        <v>255</v>
      </c>
      <c r="E47" s="10" t="n">
        <v>1226</v>
      </c>
      <c r="F47" s="8" t="n">
        <v>4.81</v>
      </c>
      <c r="G47" s="15" t="n">
        <v>0.03084463657573333</v>
      </c>
      <c r="H47" s="6" t="inlineStr">
        <is>
          <t>Hat 201</t>
        </is>
      </c>
      <c r="I47" s="12" t="inlineStr">
        <is>
          <t>1 hft</t>
        </is>
      </c>
      <c r="J47" s="23" t="n">
        <v>255</v>
      </c>
      <c r="K47" s="10" t="n">
        <v>1226</v>
      </c>
    </row>
    <row r="48">
      <c r="A48" s="16" t="inlineStr">
        <is>
          <t>TEAK Levha</t>
        </is>
      </c>
      <c r="B48" s="17" t="inlineStr">
        <is>
          <t>Levha</t>
        </is>
      </c>
      <c r="C48" s="7" t="inlineStr">
        <is>
          <t>75x200 cm (0.75x2.00 m)</t>
        </is>
      </c>
      <c r="D48" s="25" t="n">
        <v>310</v>
      </c>
      <c r="E48" s="19" t="n">
        <v>1139.2</v>
      </c>
      <c r="F48" s="8" t="n">
        <v>3.67</v>
      </c>
      <c r="G48" s="22" t="n">
        <v>0.02866328334671414</v>
      </c>
      <c r="H48" s="17" t="inlineStr">
        <is>
          <t>Hat 201</t>
        </is>
      </c>
      <c r="I48" s="21" t="inlineStr">
        <is>
          <t>1 hft</t>
        </is>
      </c>
      <c r="J48" s="25" t="n">
        <v>310</v>
      </c>
      <c r="K48" s="19" t="n">
        <v>1139.2</v>
      </c>
    </row>
    <row r="49">
      <c r="A49" s="5" t="inlineStr">
        <is>
          <t>TEAK Levha</t>
        </is>
      </c>
      <c r="B49" s="6" t="inlineStr">
        <is>
          <t>Levha</t>
        </is>
      </c>
      <c r="C49" s="7" t="inlineStr">
        <is>
          <t>84x211 cm (0.84x2.11 m)</t>
        </is>
      </c>
      <c r="D49" s="23" t="n">
        <v>240</v>
      </c>
      <c r="E49" s="10" t="n">
        <v>1042.2</v>
      </c>
      <c r="F49" s="8" t="n">
        <v>4.34</v>
      </c>
      <c r="G49" s="15" t="n">
        <v>0.02622077156501652</v>
      </c>
      <c r="H49" s="6" t="inlineStr">
        <is>
          <t>Hat 201</t>
        </is>
      </c>
      <c r="I49" s="12" t="inlineStr">
        <is>
          <t>1 hft</t>
        </is>
      </c>
      <c r="J49" s="23" t="n">
        <v>240</v>
      </c>
      <c r="K49" s="10" t="n">
        <v>1042.2</v>
      </c>
    </row>
    <row r="50">
      <c r="A50" s="16" t="inlineStr">
        <is>
          <t>TEAK Levha</t>
        </is>
      </c>
      <c r="B50" s="17" t="inlineStr">
        <is>
          <t>Levha</t>
        </is>
      </c>
      <c r="C50" s="7" t="inlineStr">
        <is>
          <t>80x207 cm (0.80x2.07 m)</t>
        </is>
      </c>
      <c r="D50" s="25" t="n">
        <v>204</v>
      </c>
      <c r="E50" s="19" t="n">
        <v>827.7</v>
      </c>
      <c r="F50" s="8" t="n">
        <v>4.06</v>
      </c>
      <c r="G50" s="22" t="n">
        <v>0.02082399800533236</v>
      </c>
      <c r="H50" s="17" t="inlineStr">
        <is>
          <t>Hat 201</t>
        </is>
      </c>
      <c r="I50" s="21" t="inlineStr">
        <is>
          <t>1 hft</t>
        </is>
      </c>
      <c r="J50" s="25" t="n">
        <v>204</v>
      </c>
      <c r="K50" s="19" t="n">
        <v>827.7</v>
      </c>
    </row>
    <row r="51">
      <c r="A51" s="5" t="inlineStr">
        <is>
          <t>TEAK Levha</t>
        </is>
      </c>
      <c r="B51" s="6" t="inlineStr">
        <is>
          <t>Levha</t>
        </is>
      </c>
      <c r="C51" s="7" t="inlineStr">
        <is>
          <t>85x215 cm (0.85x2.15 m)</t>
        </is>
      </c>
      <c r="D51" s="23" t="n">
        <v>170</v>
      </c>
      <c r="E51" s="10" t="n">
        <v>761.1</v>
      </c>
      <c r="F51" s="8" t="n">
        <v>4.48</v>
      </c>
      <c r="G51" s="15" t="n">
        <v>0.01915036920724289</v>
      </c>
      <c r="H51" s="6" t="inlineStr">
        <is>
          <t>Hat 201</t>
        </is>
      </c>
      <c r="I51" s="12" t="inlineStr">
        <is>
          <t>1 hft</t>
        </is>
      </c>
      <c r="J51" s="23" t="n">
        <v>170</v>
      </c>
      <c r="K51" s="10" t="n">
        <v>761.1</v>
      </c>
    </row>
    <row r="52">
      <c r="A52" s="16" t="inlineStr">
        <is>
          <t>TEAK Levha</t>
        </is>
      </c>
      <c r="B52" s="17" t="inlineStr">
        <is>
          <t>Levha</t>
        </is>
      </c>
      <c r="C52" s="7" t="inlineStr">
        <is>
          <t>102x215 cm (1.02x2.15 m)</t>
        </is>
      </c>
      <c r="D52" s="25" t="n">
        <v>85</v>
      </c>
      <c r="E52" s="19" t="n">
        <v>456.7</v>
      </c>
      <c r="F52" s="8" t="n">
        <v>5.37</v>
      </c>
      <c r="G52" s="22" t="n">
        <v>0.01149022152434574</v>
      </c>
      <c r="H52" s="17" t="inlineStr">
        <is>
          <t>Hat 201</t>
        </is>
      </c>
      <c r="I52" s="21" t="inlineStr">
        <is>
          <t>1 hft</t>
        </is>
      </c>
      <c r="J52" s="25" t="n">
        <v>85</v>
      </c>
      <c r="K52" s="19" t="n">
        <v>456.7</v>
      </c>
    </row>
    <row r="53">
      <c r="A53" s="5" t="inlineStr">
        <is>
          <t>TEAK Levha</t>
        </is>
      </c>
      <c r="B53" s="6" t="inlineStr">
        <is>
          <t>Levha</t>
        </is>
      </c>
      <c r="C53" s="7" t="inlineStr">
        <is>
          <t>85x211 cm (0.85x2.11 m)</t>
        </is>
      </c>
      <c r="D53" s="23" t="n">
        <v>85</v>
      </c>
      <c r="E53" s="10" t="n">
        <v>373.5</v>
      </c>
      <c r="F53" s="8" t="n">
        <v>4.39</v>
      </c>
      <c r="G53" s="15" t="n">
        <v>0.009397179135394102</v>
      </c>
      <c r="H53" s="6" t="inlineStr">
        <is>
          <t>Hat 201</t>
        </is>
      </c>
      <c r="I53" s="12" t="inlineStr">
        <is>
          <t>1 hft</t>
        </is>
      </c>
      <c r="J53" s="23" t="n">
        <v>85</v>
      </c>
      <c r="K53" s="10" t="n">
        <v>373.5</v>
      </c>
    </row>
    <row r="54">
      <c r="A54" s="16" t="inlineStr">
        <is>
          <t>TEAK Levha</t>
        </is>
      </c>
      <c r="B54" s="17" t="inlineStr">
        <is>
          <t>Levha</t>
        </is>
      </c>
      <c r="C54" s="7" t="inlineStr">
        <is>
          <t>94x215 cm (0.94x2.15 m)</t>
        </is>
      </c>
      <c r="D54" s="25" t="n">
        <v>10</v>
      </c>
      <c r="E54" s="19" t="n">
        <v>49.5</v>
      </c>
      <c r="F54" s="8" t="n">
        <v>4.95</v>
      </c>
      <c r="G54" s="22" t="n">
        <v>0.001245660880838988</v>
      </c>
      <c r="H54" s="17" t="inlineStr">
        <is>
          <t>Hat 201</t>
        </is>
      </c>
      <c r="I54" s="21" t="inlineStr">
        <is>
          <t>1 hft</t>
        </is>
      </c>
      <c r="J54" s="25" t="n">
        <v>10</v>
      </c>
      <c r="K54" s="19" t="n">
        <v>49.5</v>
      </c>
    </row>
    <row r="55">
      <c r="A55" s="5" t="inlineStr">
        <is>
          <t>MIX TEAK Levha</t>
        </is>
      </c>
      <c r="B55" s="6" t="inlineStr">
        <is>
          <t>Levha</t>
        </is>
      </c>
      <c r="C55" s="7" t="inlineStr">
        <is>
          <t>85x210 cm (0.85x2.10 m)</t>
        </is>
      </c>
      <c r="D55" s="23" t="n">
        <v>3850</v>
      </c>
      <c r="E55" s="10" t="n">
        <v>16837</v>
      </c>
      <c r="F55" s="8" t="n">
        <v>4.37</v>
      </c>
      <c r="G55" s="15" t="n">
        <v>0.5108536097688557</v>
      </c>
      <c r="H55" s="6" t="inlineStr">
        <is>
          <t>Hat 201</t>
        </is>
      </c>
      <c r="I55" s="12" t="inlineStr">
        <is>
          <t>6 hft</t>
        </is>
      </c>
      <c r="J55" s="23" t="n">
        <v>642</v>
      </c>
      <c r="K55" s="10" t="n">
        <v>2806.2</v>
      </c>
    </row>
    <row r="56">
      <c r="A56" s="16" t="inlineStr">
        <is>
          <t>MIX TEAK Levha</t>
        </is>
      </c>
      <c r="B56" s="17" t="inlineStr">
        <is>
          <t>Levha</t>
        </is>
      </c>
      <c r="C56" s="7" t="inlineStr">
        <is>
          <t>85x211 cm (0.85x2.11 m)</t>
        </is>
      </c>
      <c r="D56" s="25" t="n">
        <v>835</v>
      </c>
      <c r="E56" s="19" t="n">
        <v>3669.1</v>
      </c>
      <c r="F56" s="8" t="n">
        <v>4.39</v>
      </c>
      <c r="G56" s="22" t="n">
        <v>0.1113229255351104</v>
      </c>
      <c r="H56" s="17" t="inlineStr">
        <is>
          <t>Hat 201</t>
        </is>
      </c>
      <c r="I56" s="21" t="inlineStr">
        <is>
          <t>3 hft</t>
        </is>
      </c>
      <c r="J56" s="25" t="n">
        <v>278</v>
      </c>
      <c r="K56" s="19" t="n">
        <v>1223</v>
      </c>
    </row>
    <row r="57">
      <c r="A57" s="5" t="inlineStr">
        <is>
          <t>MIX TEAK Levha</t>
        </is>
      </c>
      <c r="B57" s="6" t="inlineStr">
        <is>
          <t>Levha</t>
        </is>
      </c>
      <c r="C57" s="7" t="inlineStr">
        <is>
          <t>75x210 cm (0.75x2.10 m)</t>
        </is>
      </c>
      <c r="D57" s="23" t="n">
        <v>830</v>
      </c>
      <c r="E57" s="10" t="n">
        <v>3202.8</v>
      </c>
      <c r="F57" s="8" t="n">
        <v>3.86</v>
      </c>
      <c r="G57" s="15" t="n">
        <v>0.09717548853683804</v>
      </c>
      <c r="H57" s="6" t="inlineStr">
        <is>
          <t>Hat 201</t>
        </is>
      </c>
      <c r="I57" s="12" t="inlineStr">
        <is>
          <t>1 hft</t>
        </is>
      </c>
      <c r="J57" s="23" t="n">
        <v>830</v>
      </c>
      <c r="K57" s="10" t="n">
        <v>3202.8</v>
      </c>
    </row>
    <row r="58">
      <c r="A58" s="16" t="inlineStr">
        <is>
          <t>MIX TEAK Levha</t>
        </is>
      </c>
      <c r="B58" s="17" t="inlineStr">
        <is>
          <t>Levha</t>
        </is>
      </c>
      <c r="C58" s="7" t="inlineStr">
        <is>
          <t>86x211 cm (0.86x2.11 m)</t>
        </is>
      </c>
      <c r="D58" s="25" t="n">
        <v>520</v>
      </c>
      <c r="E58" s="19" t="n">
        <v>2311.8</v>
      </c>
      <c r="F58" s="8" t="n">
        <v>4.45</v>
      </c>
      <c r="G58" s="22" t="n">
        <v>0.07014249989835741</v>
      </c>
      <c r="H58" s="17" t="inlineStr">
        <is>
          <t>Hat 201</t>
        </is>
      </c>
      <c r="I58" s="21" t="inlineStr">
        <is>
          <t>1 hft</t>
        </is>
      </c>
      <c r="J58" s="25" t="n">
        <v>520</v>
      </c>
      <c r="K58" s="19" t="n">
        <v>2311.8</v>
      </c>
    </row>
    <row r="59">
      <c r="A59" s="5" t="inlineStr">
        <is>
          <t>MIX TEAK Levha</t>
        </is>
      </c>
      <c r="B59" s="6" t="inlineStr">
        <is>
          <t>Levha</t>
        </is>
      </c>
      <c r="C59" s="7" t="inlineStr">
        <is>
          <t>84x211 cm (0.84x2.11 m)</t>
        </is>
      </c>
      <c r="D59" s="23" t="n">
        <v>475</v>
      </c>
      <c r="E59" s="10" t="n">
        <v>2062.6</v>
      </c>
      <c r="F59" s="8" t="n">
        <v>4.34</v>
      </c>
      <c r="G59" s="15" t="n">
        <v>0.06258241394815682</v>
      </c>
      <c r="H59" s="6" t="inlineStr">
        <is>
          <t>Hat 201</t>
        </is>
      </c>
      <c r="I59" s="12" t="inlineStr">
        <is>
          <t>1 hft</t>
        </is>
      </c>
      <c r="J59" s="23" t="n">
        <v>475</v>
      </c>
      <c r="K59" s="10" t="n">
        <v>2062.6</v>
      </c>
    </row>
    <row r="60">
      <c r="A60" s="16" t="inlineStr">
        <is>
          <t>MIX TEAK Levha</t>
        </is>
      </c>
      <c r="B60" s="17" t="inlineStr">
        <is>
          <t>Levha</t>
        </is>
      </c>
      <c r="C60" s="7" t="inlineStr">
        <is>
          <t>93x211 cm (0.93x2.11 m)</t>
        </is>
      </c>
      <c r="D60" s="25" t="n">
        <v>330</v>
      </c>
      <c r="E60" s="19" t="n">
        <v>1586.5</v>
      </c>
      <c r="F60" s="8" t="n">
        <v>4.81</v>
      </c>
      <c r="G60" s="22" t="n">
        <v>0.04813672417109698</v>
      </c>
      <c r="H60" s="17" t="inlineStr">
        <is>
          <t>Hat 201</t>
        </is>
      </c>
      <c r="I60" s="21" t="inlineStr">
        <is>
          <t>1 hft</t>
        </is>
      </c>
      <c r="J60" s="25" t="n">
        <v>330</v>
      </c>
      <c r="K60" s="19" t="n">
        <v>1586.5</v>
      </c>
    </row>
    <row r="61">
      <c r="A61" s="5" t="inlineStr">
        <is>
          <t>MIX TEAK Levha</t>
        </is>
      </c>
      <c r="B61" s="6" t="inlineStr">
        <is>
          <t>Levha</t>
        </is>
      </c>
      <c r="C61" s="7" t="inlineStr">
        <is>
          <t>94x211 cm (0.94x2.11 m)</t>
        </is>
      </c>
      <c r="D61" s="23" t="n">
        <v>300</v>
      </c>
      <c r="E61" s="10" t="n">
        <v>1457.8</v>
      </c>
      <c r="F61" s="8" t="n">
        <v>4.86</v>
      </c>
      <c r="G61" s="15" t="n">
        <v>0.04423122084601844</v>
      </c>
      <c r="H61" s="6" t="inlineStr">
        <is>
          <t>Hat 201</t>
        </is>
      </c>
      <c r="I61" s="12" t="inlineStr">
        <is>
          <t>1 hft</t>
        </is>
      </c>
      <c r="J61" s="23" t="n">
        <v>300</v>
      </c>
      <c r="K61" s="10" t="n">
        <v>1457.8</v>
      </c>
    </row>
    <row r="62">
      <c r="A62" s="16" t="inlineStr">
        <is>
          <t>MIX TEAK Levha</t>
        </is>
      </c>
      <c r="B62" s="17" t="inlineStr">
        <is>
          <t>Levha</t>
        </is>
      </c>
      <c r="C62" s="7" t="inlineStr">
        <is>
          <t>93x210 cm (0.93x2.10 m)</t>
        </is>
      </c>
      <c r="D62" s="25" t="n">
        <v>120</v>
      </c>
      <c r="E62" s="19" t="n">
        <v>574.2</v>
      </c>
      <c r="F62" s="8" t="n">
        <v>4.78</v>
      </c>
      <c r="G62" s="22" t="n">
        <v>0.0174212391174145</v>
      </c>
      <c r="H62" s="17" t="inlineStr">
        <is>
          <t>Hat 201</t>
        </is>
      </c>
      <c r="I62" s="21" t="inlineStr">
        <is>
          <t>1 hft</t>
        </is>
      </c>
      <c r="J62" s="25" t="n">
        <v>120</v>
      </c>
      <c r="K62" s="19" t="n">
        <v>574.2</v>
      </c>
    </row>
    <row r="63">
      <c r="A63" s="5" t="inlineStr">
        <is>
          <t>MIX TEAK Levha</t>
        </is>
      </c>
      <c r="B63" s="6" t="inlineStr">
        <is>
          <t>Levha</t>
        </is>
      </c>
      <c r="C63" s="7" t="inlineStr">
        <is>
          <t>85x208 cm (0.85x2.08 m)</t>
        </is>
      </c>
      <c r="D63" s="23" t="n">
        <v>100</v>
      </c>
      <c r="E63" s="10" t="n">
        <v>433.2</v>
      </c>
      <c r="F63" s="8" t="n">
        <v>4.33</v>
      </c>
      <c r="G63" s="15" t="n">
        <v>0.01314254055539947</v>
      </c>
      <c r="H63" s="6" t="inlineStr">
        <is>
          <t>Hat 201</t>
        </is>
      </c>
      <c r="I63" s="12" t="inlineStr">
        <is>
          <t>1 hft</t>
        </is>
      </c>
      <c r="J63" s="23" t="n">
        <v>100</v>
      </c>
      <c r="K63" s="10" t="n">
        <v>433.2</v>
      </c>
    </row>
    <row r="64">
      <c r="A64" s="16" t="inlineStr">
        <is>
          <t>MIX TEAK Levha</t>
        </is>
      </c>
      <c r="B64" s="17" t="inlineStr">
        <is>
          <t>Levha</t>
        </is>
      </c>
      <c r="C64" s="7" t="inlineStr">
        <is>
          <t>94x210 cm (0.94x2.10 m)</t>
        </is>
      </c>
      <c r="D64" s="25" t="n">
        <v>75</v>
      </c>
      <c r="E64" s="19" t="n">
        <v>362.7</v>
      </c>
      <c r="F64" s="8" t="n">
        <v>4.84</v>
      </c>
      <c r="G64" s="22" t="n">
        <v>0.01100531514972411</v>
      </c>
      <c r="H64" s="17" t="inlineStr">
        <is>
          <t>Hat 201</t>
        </is>
      </c>
      <c r="I64" s="21" t="inlineStr">
        <is>
          <t>1 hft</t>
        </is>
      </c>
      <c r="J64" s="25" t="n">
        <v>75</v>
      </c>
      <c r="K64" s="19" t="n">
        <v>362.7</v>
      </c>
    </row>
    <row r="65">
      <c r="A65" s="5" t="inlineStr">
        <is>
          <t>MIX TEAK Levha</t>
        </is>
      </c>
      <c r="B65" s="6" t="inlineStr">
        <is>
          <t>Levha</t>
        </is>
      </c>
      <c r="C65" s="7" t="inlineStr">
        <is>
          <t>93x208 cm (0.93x2.08 m)</t>
        </is>
      </c>
      <c r="D65" s="23" t="n">
        <v>60</v>
      </c>
      <c r="E65" s="10" t="n">
        <v>284.4</v>
      </c>
      <c r="F65" s="8" t="n">
        <v>4.74</v>
      </c>
      <c r="G65" s="15" t="n">
        <v>0.008627788420753055</v>
      </c>
      <c r="H65" s="6" t="inlineStr">
        <is>
          <t>Hat 201</t>
        </is>
      </c>
      <c r="I65" s="12" t="inlineStr">
        <is>
          <t>1 hft</t>
        </is>
      </c>
      <c r="J65" s="23" t="n">
        <v>60</v>
      </c>
      <c r="K65" s="10" t="n">
        <v>284.4</v>
      </c>
    </row>
    <row r="66">
      <c r="A66" s="16" t="inlineStr">
        <is>
          <t>MIX TEAK Levha</t>
        </is>
      </c>
      <c r="B66" s="17" t="inlineStr">
        <is>
          <t>Levha</t>
        </is>
      </c>
      <c r="C66" s="7" t="inlineStr">
        <is>
          <t>85x212 cm (0.85x2.12 m)</t>
        </is>
      </c>
      <c r="D66" s="25" t="n">
        <v>40</v>
      </c>
      <c r="E66" s="19" t="n">
        <v>176.6</v>
      </c>
      <c r="F66" s="8" t="n">
        <v>4.42</v>
      </c>
      <c r="G66" s="22" t="n">
        <v>0.005358234052275247</v>
      </c>
      <c r="H66" s="17" t="inlineStr">
        <is>
          <t>Hat 201</t>
        </is>
      </c>
      <c r="I66" s="21" t="inlineStr">
        <is>
          <t>1 hft</t>
        </is>
      </c>
      <c r="J66" s="25" t="n">
        <v>40</v>
      </c>
      <c r="K66" s="19" t="n">
        <v>176.6</v>
      </c>
    </row>
    <row r="67">
      <c r="A67" s="5" t="inlineStr">
        <is>
          <t>BEYAZ TEAK Levha</t>
        </is>
      </c>
      <c r="B67" s="6" t="inlineStr">
        <is>
          <t>Levha</t>
        </is>
      </c>
      <c r="C67" s="7" t="inlineStr">
        <is>
          <t>75x210 cm (0.75x2.10 m)</t>
        </is>
      </c>
      <c r="D67" s="23" t="n">
        <v>2185</v>
      </c>
      <c r="E67" s="10" t="n">
        <v>8431.4</v>
      </c>
      <c r="F67" s="8" t="n">
        <v>3.86</v>
      </c>
      <c r="G67" s="15" t="n">
        <v>0.2595532715021722</v>
      </c>
      <c r="H67" s="6" t="inlineStr">
        <is>
          <t>Hat 201</t>
        </is>
      </c>
      <c r="I67" s="12" t="inlineStr">
        <is>
          <t>3 hft</t>
        </is>
      </c>
      <c r="J67" s="23" t="n">
        <v>728</v>
      </c>
      <c r="K67" s="10" t="n">
        <v>2810.5</v>
      </c>
    </row>
    <row r="68">
      <c r="A68" s="16" t="inlineStr">
        <is>
          <t>BEYAZ TEAK Levha</t>
        </is>
      </c>
      <c r="B68" s="17" t="inlineStr">
        <is>
          <t>Levha</t>
        </is>
      </c>
      <c r="C68" s="7" t="inlineStr">
        <is>
          <t>94x207 cm (0.94x2.07 m)</t>
        </is>
      </c>
      <c r="D68" s="25" t="n">
        <v>1762</v>
      </c>
      <c r="E68" s="19" t="n">
        <v>8399.799999999999</v>
      </c>
      <c r="F68" s="8" t="n">
        <v>4.77</v>
      </c>
      <c r="G68" s="22" t="n">
        <v>0.2585823367450474</v>
      </c>
      <c r="H68" s="17" t="inlineStr">
        <is>
          <t>Hat 201</t>
        </is>
      </c>
      <c r="I68" s="21" t="inlineStr">
        <is>
          <t>6 hft</t>
        </is>
      </c>
      <c r="J68" s="25" t="n">
        <v>294</v>
      </c>
      <c r="K68" s="19" t="n">
        <v>1400</v>
      </c>
    </row>
    <row r="69">
      <c r="A69" s="5" t="inlineStr">
        <is>
          <t>BEYAZ TEAK Levha</t>
        </is>
      </c>
      <c r="B69" s="6" t="inlineStr">
        <is>
          <t>Levha</t>
        </is>
      </c>
      <c r="C69" s="7" t="inlineStr">
        <is>
          <t>93x208 cm (0.93x2.08 m)</t>
        </is>
      </c>
      <c r="D69" s="23" t="n">
        <v>1200</v>
      </c>
      <c r="E69" s="10" t="n">
        <v>5687.1</v>
      </c>
      <c r="F69" s="8" t="n">
        <v>4.74</v>
      </c>
      <c r="G69" s="15" t="n">
        <v>0.1750742515736901</v>
      </c>
      <c r="H69" s="6" t="inlineStr">
        <is>
          <t>Hat 201</t>
        </is>
      </c>
      <c r="I69" s="12" t="inlineStr">
        <is>
          <t>3 hft</t>
        </is>
      </c>
      <c r="J69" s="23" t="n">
        <v>400</v>
      </c>
      <c r="K69" s="10" t="n">
        <v>1895.7</v>
      </c>
    </row>
    <row r="70">
      <c r="A70" s="16" t="inlineStr">
        <is>
          <t>BEYAZ TEAK Levha</t>
        </is>
      </c>
      <c r="B70" s="17" t="inlineStr">
        <is>
          <t>Levha</t>
        </is>
      </c>
      <c r="C70" s="7" t="inlineStr">
        <is>
          <t>94x210 cm (0.94x2.10 m)</t>
        </is>
      </c>
      <c r="D70" s="25" t="n">
        <v>1150</v>
      </c>
      <c r="E70" s="19" t="n">
        <v>5561.7</v>
      </c>
      <c r="F70" s="8" t="n">
        <v>4.84</v>
      </c>
      <c r="G70" s="22" t="n">
        <v>0.1712142164057805</v>
      </c>
      <c r="H70" s="17" t="inlineStr">
        <is>
          <t>Hat 201</t>
        </is>
      </c>
      <c r="I70" s="21" t="inlineStr">
        <is>
          <t>3 hft</t>
        </is>
      </c>
      <c r="J70" s="25" t="n">
        <v>383</v>
      </c>
      <c r="K70" s="19" t="n">
        <v>1853.9</v>
      </c>
    </row>
    <row r="71">
      <c r="A71" s="5" t="inlineStr">
        <is>
          <t>BEYAZ TEAK Levha</t>
        </is>
      </c>
      <c r="B71" s="6" t="inlineStr">
        <is>
          <t>Levha</t>
        </is>
      </c>
      <c r="C71" s="7" t="inlineStr">
        <is>
          <t>90x208 cm (0.90x2.08 m)</t>
        </is>
      </c>
      <c r="D71" s="23" t="n">
        <v>545</v>
      </c>
      <c r="E71" s="10" t="n">
        <v>2499.6</v>
      </c>
      <c r="F71" s="8" t="n">
        <v>4.59</v>
      </c>
      <c r="G71" s="15" t="n">
        <v>0.07694796479268666</v>
      </c>
      <c r="H71" s="6" t="inlineStr">
        <is>
          <t>Hat 201</t>
        </is>
      </c>
      <c r="I71" s="12" t="inlineStr">
        <is>
          <t>1 hft</t>
        </is>
      </c>
      <c r="J71" s="23" t="n">
        <v>545</v>
      </c>
      <c r="K71" s="10" t="n">
        <v>2499.6</v>
      </c>
    </row>
    <row r="72">
      <c r="A72" s="16" t="inlineStr">
        <is>
          <t>BEYAZ TEAK Levha</t>
        </is>
      </c>
      <c r="B72" s="17" t="inlineStr">
        <is>
          <t>Levha</t>
        </is>
      </c>
      <c r="C72" s="7" t="inlineStr">
        <is>
          <t>75x207 cm (0.75x2.07 m)</t>
        </is>
      </c>
      <c r="D72" s="25" t="n">
        <v>212</v>
      </c>
      <c r="E72" s="19" t="n">
        <v>806.4</v>
      </c>
      <c r="F72" s="8" t="n">
        <v>3.8</v>
      </c>
      <c r="G72" s="22" t="n">
        <v>0.02482348319919616</v>
      </c>
      <c r="H72" s="17" t="inlineStr">
        <is>
          <t>Hat 201</t>
        </is>
      </c>
      <c r="I72" s="21" t="inlineStr">
        <is>
          <t>1 hft</t>
        </is>
      </c>
      <c r="J72" s="25" t="n">
        <v>212</v>
      </c>
      <c r="K72" s="19" t="n">
        <v>806.4</v>
      </c>
    </row>
    <row r="73">
      <c r="A73" s="5" t="inlineStr">
        <is>
          <t>BEYAZ TEAK Levha</t>
        </is>
      </c>
      <c r="B73" s="6" t="inlineStr">
        <is>
          <t>Levha</t>
        </is>
      </c>
      <c r="C73" s="7" t="inlineStr">
        <is>
          <t>93x211 cm (0.93x2.11 m)</t>
        </is>
      </c>
      <c r="D73" s="23" t="n">
        <v>150</v>
      </c>
      <c r="E73" s="10" t="n">
        <v>721.1</v>
      </c>
      <c r="F73" s="8" t="n">
        <v>4.81</v>
      </c>
      <c r="G73" s="15" t="n">
        <v>0.02220005073241851</v>
      </c>
      <c r="H73" s="6" t="inlineStr">
        <is>
          <t>Hat 201</t>
        </is>
      </c>
      <c r="I73" s="12" t="inlineStr">
        <is>
          <t>1 hft</t>
        </is>
      </c>
      <c r="J73" s="23" t="n">
        <v>150</v>
      </c>
      <c r="K73" s="10" t="n">
        <v>721.1</v>
      </c>
    </row>
    <row r="74">
      <c r="A74" s="16" t="inlineStr">
        <is>
          <t>BEYAZ TEAK Levha</t>
        </is>
      </c>
      <c r="B74" s="17" t="inlineStr">
        <is>
          <t>Levha</t>
        </is>
      </c>
      <c r="C74" s="7" t="inlineStr">
        <is>
          <t>94x248 cm (0.94x2.48 m)</t>
        </is>
      </c>
      <c r="D74" s="25" t="n">
        <v>66</v>
      </c>
      <c r="E74" s="19" t="n">
        <v>377</v>
      </c>
      <c r="F74" s="8" t="n">
        <v>5.71</v>
      </c>
      <c r="G74" s="22" t="n">
        <v>0.0116044250490085</v>
      </c>
      <c r="H74" s="17" t="inlineStr">
        <is>
          <t>Hat 201</t>
        </is>
      </c>
      <c r="I74" s="21" t="inlineStr">
        <is>
          <t>1 hft</t>
        </is>
      </c>
      <c r="J74" s="25" t="n">
        <v>66</v>
      </c>
      <c r="K74" s="19" t="n">
        <v>377</v>
      </c>
    </row>
    <row r="75">
      <c r="A75" s="5" t="inlineStr">
        <is>
          <t>SEREN(39mm)</t>
        </is>
      </c>
      <c r="B75" s="6" t="inlineStr">
        <is>
          <t>Seren</t>
        </is>
      </c>
      <c r="C75" s="7" t="inlineStr">
        <is>
          <t>2.10 m (210 cm)</t>
        </is>
      </c>
      <c r="D75" s="11" t="n">
        <v>7938</v>
      </c>
      <c r="E75" s="10" t="n">
        <v>30342</v>
      </c>
      <c r="F75" s="8" t="n">
        <v>3.82</v>
      </c>
      <c r="G75" s="15" t="n">
        <v>1</v>
      </c>
      <c r="H75" s="6" t="inlineStr">
        <is>
          <t>Hat 107</t>
        </is>
      </c>
      <c r="I75" s="12" t="inlineStr">
        <is>
          <t>3 hft</t>
        </is>
      </c>
      <c r="J75" s="11" t="n">
        <v>2646</v>
      </c>
      <c r="K75" s="10" t="n">
        <v>10114</v>
      </c>
    </row>
    <row r="76">
      <c r="A76" s="16" t="inlineStr">
        <is>
          <t>VIZON Levha</t>
        </is>
      </c>
      <c r="B76" s="17" t="inlineStr">
        <is>
          <t>Levha</t>
        </is>
      </c>
      <c r="C76" s="7" t="inlineStr">
        <is>
          <t>94x207 cm (0.94x2.07 m)</t>
        </is>
      </c>
      <c r="D76" s="25" t="n">
        <v>2340</v>
      </c>
      <c r="E76" s="19" t="n">
        <v>11155.3</v>
      </c>
      <c r="F76" s="8" t="n">
        <v>4.77</v>
      </c>
      <c r="G76" s="22" t="n">
        <v>0.6073330012277021</v>
      </c>
      <c r="H76" s="17" t="inlineStr">
        <is>
          <t>Hat 201</t>
        </is>
      </c>
      <c r="I76" s="21" t="inlineStr">
        <is>
          <t>7 hft</t>
        </is>
      </c>
      <c r="J76" s="25" t="n">
        <v>334</v>
      </c>
      <c r="K76" s="19" t="n">
        <v>1593.6</v>
      </c>
    </row>
    <row r="77">
      <c r="A77" s="5" t="inlineStr">
        <is>
          <t>VIZON Levha</t>
        </is>
      </c>
      <c r="B77" s="6" t="inlineStr">
        <is>
          <t>Levha</t>
        </is>
      </c>
      <c r="C77" s="7" t="inlineStr">
        <is>
          <t>94x208 cm (0.94x2.08 m)</t>
        </is>
      </c>
      <c r="D77" s="23" t="n">
        <v>1100</v>
      </c>
      <c r="E77" s="10" t="n">
        <v>5269.3</v>
      </c>
      <c r="F77" s="8" t="n">
        <v>4.79</v>
      </c>
      <c r="G77" s="15" t="n">
        <v>0.286877744294997</v>
      </c>
      <c r="H77" s="6" t="inlineStr">
        <is>
          <t>Hat 201</t>
        </is>
      </c>
      <c r="I77" s="12" t="inlineStr">
        <is>
          <t>2 hft</t>
        </is>
      </c>
      <c r="J77" s="23" t="n">
        <v>550</v>
      </c>
      <c r="K77" s="10" t="n">
        <v>2634.6</v>
      </c>
    </row>
    <row r="78">
      <c r="A78" s="16" t="inlineStr">
        <is>
          <t>VIZON Levha</t>
        </is>
      </c>
      <c r="B78" s="17" t="inlineStr">
        <is>
          <t>Levha</t>
        </is>
      </c>
      <c r="C78" s="7" t="inlineStr">
        <is>
          <t>93x208 cm (0.93x2.08 m)</t>
        </is>
      </c>
      <c r="D78" s="25" t="n">
        <v>410</v>
      </c>
      <c r="E78" s="19" t="n">
        <v>1943.1</v>
      </c>
      <c r="F78" s="8" t="n">
        <v>4.74</v>
      </c>
      <c r="G78" s="22" t="n">
        <v>0.1057892544773011</v>
      </c>
      <c r="H78" s="17" t="inlineStr">
        <is>
          <t>Hat 201</t>
        </is>
      </c>
      <c r="I78" s="21" t="inlineStr">
        <is>
          <t>2 hft</t>
        </is>
      </c>
      <c r="J78" s="25" t="n">
        <v>205</v>
      </c>
      <c r="K78" s="19" t="n">
        <v>971.6</v>
      </c>
    </row>
    <row r="79">
      <c r="A79" s="5" t="inlineStr">
        <is>
          <t>KT100-220x24-ANT</t>
        </is>
      </c>
      <c r="B79" s="6" t="inlineStr">
        <is>
          <t>Deck</t>
        </is>
      </c>
      <c r="C79" s="7" t="inlineStr">
        <is>
          <t>3.00 m (300 cm)</t>
        </is>
      </c>
      <c r="D79" s="11" t="n">
        <v>1299</v>
      </c>
      <c r="E79" s="10" t="n">
        <v>12452</v>
      </c>
      <c r="F79" s="8" t="n">
        <v>9.59</v>
      </c>
      <c r="G79" s="15" t="n">
        <v>0.7043783233397443</v>
      </c>
      <c r="H79" s="6" t="inlineStr">
        <is>
          <t>Hat 107</t>
        </is>
      </c>
      <c r="I79" s="12" t="inlineStr">
        <is>
          <t>3 hft</t>
        </is>
      </c>
      <c r="J79" s="11" t="n">
        <v>433</v>
      </c>
      <c r="K79" s="10" t="n">
        <v>4150.7</v>
      </c>
    </row>
    <row r="80">
      <c r="A80" s="16" t="inlineStr">
        <is>
          <t>KT100-220x24-ANT</t>
        </is>
      </c>
      <c r="B80" s="17" t="inlineStr">
        <is>
          <t>Deck</t>
        </is>
      </c>
      <c r="C80" s="7" t="inlineStr">
        <is>
          <t>3.40 m (340 cm)</t>
        </is>
      </c>
      <c r="D80" s="20" t="n">
        <v>151</v>
      </c>
      <c r="E80" s="19" t="n">
        <v>1734</v>
      </c>
      <c r="F80" s="8" t="n">
        <v>11.48</v>
      </c>
      <c r="G80" s="22" t="n">
        <v>0.09808801900667496</v>
      </c>
      <c r="H80" s="17" t="inlineStr">
        <is>
          <t>Hat 107</t>
        </is>
      </c>
      <c r="I80" s="21" t="inlineStr">
        <is>
          <t>1 hft</t>
        </is>
      </c>
      <c r="J80" s="20" t="n">
        <v>151</v>
      </c>
      <c r="K80" s="19" t="n">
        <v>1734</v>
      </c>
    </row>
    <row r="81">
      <c r="A81" s="5" t="inlineStr">
        <is>
          <t>KT100-220x24-ANT</t>
        </is>
      </c>
      <c r="B81" s="6" t="inlineStr">
        <is>
          <t>Deck</t>
        </is>
      </c>
      <c r="C81" s="7" t="inlineStr">
        <is>
          <t>5.00 m (500 cm)</t>
        </is>
      </c>
      <c r="D81" s="11" t="n">
        <v>62</v>
      </c>
      <c r="E81" s="10" t="n">
        <v>1101</v>
      </c>
      <c r="F81" s="8" t="n">
        <v>17.76</v>
      </c>
      <c r="G81" s="15" t="n">
        <v>0.06228080099558773</v>
      </c>
      <c r="H81" s="6" t="inlineStr">
        <is>
          <t>Hat 107</t>
        </is>
      </c>
      <c r="I81" s="12" t="inlineStr">
        <is>
          <t>1 hft</t>
        </is>
      </c>
      <c r="J81" s="11" t="n">
        <v>62</v>
      </c>
      <c r="K81" s="10" t="n">
        <v>1101</v>
      </c>
    </row>
    <row r="82">
      <c r="A82" s="16" t="inlineStr">
        <is>
          <t>KT100-220x24-ANT</t>
        </is>
      </c>
      <c r="B82" s="17" t="inlineStr">
        <is>
          <t>Deck</t>
        </is>
      </c>
      <c r="C82" s="7" t="inlineStr">
        <is>
          <t>3.70 m (370 cm)</t>
        </is>
      </c>
      <c r="D82" s="20" t="n">
        <v>78</v>
      </c>
      <c r="E82" s="19" t="n">
        <v>920</v>
      </c>
      <c r="F82" s="8" t="n">
        <v>11.79</v>
      </c>
      <c r="G82" s="22" t="n">
        <v>0.05204208620884716</v>
      </c>
      <c r="H82" s="17" t="inlineStr">
        <is>
          <t>Hat 107</t>
        </is>
      </c>
      <c r="I82" s="21" t="inlineStr">
        <is>
          <t>1 hft</t>
        </is>
      </c>
      <c r="J82" s="20" t="n">
        <v>78</v>
      </c>
      <c r="K82" s="19" t="n">
        <v>920</v>
      </c>
    </row>
    <row r="83">
      <c r="A83" s="5" t="inlineStr">
        <is>
          <t>KT100-220x24-ANT</t>
        </is>
      </c>
      <c r="B83" s="6" t="inlineStr">
        <is>
          <t>Deck</t>
        </is>
      </c>
      <c r="C83" s="7" t="inlineStr">
        <is>
          <t>4.00 m (400 cm)</t>
        </is>
      </c>
      <c r="D83" s="11" t="n">
        <v>62</v>
      </c>
      <c r="E83" s="10" t="n">
        <v>863</v>
      </c>
      <c r="F83" s="8" t="n">
        <v>13.92</v>
      </c>
      <c r="G83" s="15" t="n">
        <v>0.04881773956329902</v>
      </c>
      <c r="H83" s="6" t="inlineStr">
        <is>
          <t>Hat 107</t>
        </is>
      </c>
      <c r="I83" s="12" t="inlineStr">
        <is>
          <t>1 hft</t>
        </is>
      </c>
      <c r="J83" s="11" t="n">
        <v>62</v>
      </c>
      <c r="K83" s="10" t="n">
        <v>863</v>
      </c>
    </row>
    <row r="84">
      <c r="A84" s="16" t="inlineStr">
        <is>
          <t>KT100-220x24-ANT</t>
        </is>
      </c>
      <c r="B84" s="17" t="inlineStr">
        <is>
          <t>Deck</t>
        </is>
      </c>
      <c r="C84" s="7" t="inlineStr">
        <is>
          <t>3.10 m (310 cm)</t>
        </is>
      </c>
      <c r="D84" s="20" t="n">
        <v>60</v>
      </c>
      <c r="E84" s="19" t="n">
        <v>608</v>
      </c>
      <c r="F84" s="8" t="n">
        <v>10.13</v>
      </c>
      <c r="G84" s="22" t="n">
        <v>0.03439303088584682</v>
      </c>
      <c r="H84" s="17" t="inlineStr">
        <is>
          <t>Hat 107</t>
        </is>
      </c>
      <c r="I84" s="21" t="inlineStr">
        <is>
          <t>1 hft</t>
        </is>
      </c>
      <c r="J84" s="20" t="n">
        <v>60</v>
      </c>
      <c r="K84" s="19" t="n">
        <v>608</v>
      </c>
    </row>
    <row r="85">
      <c r="A85" s="5" t="inlineStr">
        <is>
          <t>KT100-220x24-ANT</t>
        </is>
      </c>
      <c r="B85" s="6" t="inlineStr">
        <is>
          <t>Deck</t>
        </is>
      </c>
      <c r="C85" s="7" t="inlineStr">
        <is>
          <t>2.20 m (220 cm)</t>
        </is>
      </c>
      <c r="D85" s="11" t="n">
        <v>0</v>
      </c>
      <c r="E85" s="10" t="n">
        <v>0</v>
      </c>
      <c r="F85" s="8" t="n">
        <v>0</v>
      </c>
      <c r="G85" s="15" t="n">
        <v>0</v>
      </c>
      <c r="H85" s="6" t="inlineStr">
        <is>
          <t>Hat 107</t>
        </is>
      </c>
      <c r="I85" s="12" t="inlineStr">
        <is>
          <t>1 hft</t>
        </is>
      </c>
      <c r="J85" s="11" t="n">
        <v>0</v>
      </c>
      <c r="K85" s="10" t="n">
        <v>0</v>
      </c>
    </row>
    <row r="86">
      <c r="A86" s="16" t="inlineStr">
        <is>
          <t>80X80 PERVAZ</t>
        </is>
      </c>
      <c r="B86" s="17" t="inlineStr">
        <is>
          <t>Pervaz</t>
        </is>
      </c>
      <c r="C86" s="7" t="inlineStr">
        <is>
          <t>2.24 m (224 cm)</t>
        </is>
      </c>
      <c r="D86" s="20" t="n">
        <v>5830</v>
      </c>
      <c r="E86" s="19" t="n">
        <v>13318</v>
      </c>
      <c r="F86" s="8" t="n">
        <v>2.28</v>
      </c>
      <c r="G86" s="22" t="n">
        <v>0.928795592440198</v>
      </c>
      <c r="H86" s="17" t="inlineStr">
        <is>
          <t>Hat 101</t>
        </is>
      </c>
      <c r="I86" s="21" t="inlineStr">
        <is>
          <t>5 hft</t>
        </is>
      </c>
      <c r="J86" s="20" t="n">
        <v>1166</v>
      </c>
      <c r="K86" s="19" t="n">
        <v>2663.6</v>
      </c>
    </row>
    <row r="87">
      <c r="A87" s="5" t="inlineStr">
        <is>
          <t>80X80 PERVAZ</t>
        </is>
      </c>
      <c r="B87" s="6" t="inlineStr">
        <is>
          <t>Pervaz</t>
        </is>
      </c>
      <c r="C87" s="7" t="inlineStr">
        <is>
          <t>2.20 m (220 cm)</t>
        </is>
      </c>
      <c r="D87" s="11" t="n">
        <v>690</v>
      </c>
      <c r="E87" s="10" t="n">
        <v>1021</v>
      </c>
      <c r="F87" s="8" t="n">
        <v>1.48</v>
      </c>
      <c r="G87" s="15" t="n">
        <v>0.07120440755980194</v>
      </c>
      <c r="H87" s="6" t="inlineStr">
        <is>
          <t>Hat 101, Hat 109</t>
        </is>
      </c>
      <c r="I87" s="12" t="inlineStr">
        <is>
          <t>4 hft</t>
        </is>
      </c>
      <c r="J87" s="11" t="n">
        <v>172</v>
      </c>
      <c r="K87" s="10" t="n">
        <v>255.2</v>
      </c>
    </row>
    <row r="88">
      <c r="A88" s="16" t="inlineStr">
        <is>
          <t>35X100 PERVAZ</t>
        </is>
      </c>
      <c r="B88" s="17" t="inlineStr">
        <is>
          <t>Pervaz</t>
        </is>
      </c>
      <c r="C88" s="7" t="inlineStr">
        <is>
          <t>2.20 m (220 cm)</t>
        </is>
      </c>
      <c r="D88" s="20" t="n">
        <v>4745</v>
      </c>
      <c r="E88" s="19" t="n">
        <v>9891</v>
      </c>
      <c r="F88" s="8" t="n">
        <v>2.08</v>
      </c>
      <c r="G88" s="22" t="n">
        <v>0.9478677527551509</v>
      </c>
      <c r="H88" s="17" t="inlineStr">
        <is>
          <t>Hat 101</t>
        </is>
      </c>
      <c r="I88" s="21" t="inlineStr">
        <is>
          <t>4 hft</t>
        </is>
      </c>
      <c r="J88" s="20" t="n">
        <v>1186</v>
      </c>
      <c r="K88" s="19" t="n">
        <v>2472.8</v>
      </c>
    </row>
    <row r="89">
      <c r="A89" s="5" t="inlineStr">
        <is>
          <t>35X100 PERVAZ</t>
        </is>
      </c>
      <c r="B89" s="6" t="inlineStr">
        <is>
          <t>Pervaz</t>
        </is>
      </c>
      <c r="C89" s="7" t="inlineStr">
        <is>
          <t>2.27 m (227 cm)</t>
        </is>
      </c>
      <c r="D89" s="11" t="n">
        <v>250</v>
      </c>
      <c r="E89" s="10" t="n">
        <v>544</v>
      </c>
      <c r="F89" s="8" t="n">
        <v>2.18</v>
      </c>
      <c r="G89" s="15" t="n">
        <v>0.05213224724484906</v>
      </c>
      <c r="H89" s="6" t="inlineStr">
        <is>
          <t>Hat 101</t>
        </is>
      </c>
      <c r="I89" s="12" t="inlineStr">
        <is>
          <t>1 hft</t>
        </is>
      </c>
      <c r="J89" s="11" t="n">
        <v>250</v>
      </c>
      <c r="K89" s="10" t="n">
        <v>544</v>
      </c>
    </row>
    <row r="90">
      <c r="A90" s="16" t="inlineStr">
        <is>
          <t>35X150 PERVAZ</t>
        </is>
      </c>
      <c r="B90" s="17" t="inlineStr">
        <is>
          <t>Pervaz</t>
        </is>
      </c>
      <c r="C90" s="7" t="inlineStr">
        <is>
          <t>2.20 m (220 cm)</t>
        </is>
      </c>
      <c r="D90" s="20" t="n">
        <v>3205</v>
      </c>
      <c r="E90" s="19" t="n">
        <v>9522</v>
      </c>
      <c r="F90" s="8" t="n">
        <v>2.97</v>
      </c>
      <c r="G90" s="22" t="n">
        <v>1</v>
      </c>
      <c r="H90" s="17" t="inlineStr">
        <is>
          <t>Hat 101</t>
        </is>
      </c>
      <c r="I90" s="21" t="inlineStr">
        <is>
          <t>2 hft</t>
        </is>
      </c>
      <c r="J90" s="20" t="n">
        <v>1602</v>
      </c>
      <c r="K90" s="19" t="n">
        <v>4761</v>
      </c>
    </row>
    <row r="91">
      <c r="A91" s="5" t="inlineStr">
        <is>
          <t>KT102-219x26-ANT</t>
        </is>
      </c>
      <c r="B91" s="6" t="inlineStr">
        <is>
          <t>Deck</t>
        </is>
      </c>
      <c r="C91" s="7" t="inlineStr">
        <is>
          <t>3.00 m (300 cm)</t>
        </is>
      </c>
      <c r="D91" s="11" t="n">
        <v>752</v>
      </c>
      <c r="E91" s="10" t="n">
        <v>7638</v>
      </c>
      <c r="F91" s="8" t="n">
        <v>10.16</v>
      </c>
      <c r="G91" s="15" t="n">
        <v>0.8112586298459904</v>
      </c>
      <c r="H91" s="6" t="inlineStr">
        <is>
          <t>Hat 107</t>
        </is>
      </c>
      <c r="I91" s="12" t="inlineStr">
        <is>
          <t>3 hft</t>
        </is>
      </c>
      <c r="J91" s="11" t="n">
        <v>251</v>
      </c>
      <c r="K91" s="10" t="n">
        <v>2546</v>
      </c>
    </row>
    <row r="92">
      <c r="A92" s="16" t="inlineStr">
        <is>
          <t>KT102-219x26-ANT</t>
        </is>
      </c>
      <c r="B92" s="17" t="inlineStr">
        <is>
          <t>Deck</t>
        </is>
      </c>
      <c r="C92" s="7" t="inlineStr">
        <is>
          <t>3.70 m (370 cm)</t>
        </is>
      </c>
      <c r="D92" s="20" t="n">
        <v>75</v>
      </c>
      <c r="E92" s="19" t="n">
        <v>899</v>
      </c>
      <c r="F92" s="8" t="n">
        <v>11.99</v>
      </c>
      <c r="G92" s="22" t="n">
        <v>0.09548592671269251</v>
      </c>
      <c r="H92" s="17" t="inlineStr">
        <is>
          <t>Hat 107</t>
        </is>
      </c>
      <c r="I92" s="21" t="inlineStr">
        <is>
          <t>1 hft</t>
        </is>
      </c>
      <c r="J92" s="20" t="n">
        <v>75</v>
      </c>
      <c r="K92" s="19" t="n">
        <v>899</v>
      </c>
    </row>
    <row r="93">
      <c r="A93" s="5" t="inlineStr">
        <is>
          <t>KT102-219x26-ANT</t>
        </is>
      </c>
      <c r="B93" s="6" t="inlineStr">
        <is>
          <t>Deck</t>
        </is>
      </c>
      <c r="C93" s="7" t="inlineStr">
        <is>
          <t>3.40 m (340 cm)</t>
        </is>
      </c>
      <c r="D93" s="11" t="n">
        <v>53</v>
      </c>
      <c r="E93" s="10" t="n">
        <v>614</v>
      </c>
      <c r="F93" s="8" t="n">
        <v>11.58</v>
      </c>
      <c r="G93" s="15" t="n">
        <v>0.06521508231545406</v>
      </c>
      <c r="H93" s="6" t="inlineStr">
        <is>
          <t>Hat 107</t>
        </is>
      </c>
      <c r="I93" s="12" t="inlineStr">
        <is>
          <t>1 hft</t>
        </is>
      </c>
      <c r="J93" s="11" t="n">
        <v>53</v>
      </c>
      <c r="K93" s="10" t="n">
        <v>614</v>
      </c>
    </row>
    <row r="94">
      <c r="A94" s="16" t="inlineStr">
        <is>
          <t>KT102-219x26-ANT</t>
        </is>
      </c>
      <c r="B94" s="17" t="inlineStr">
        <is>
          <t>Deck</t>
        </is>
      </c>
      <c r="C94" s="7" t="inlineStr">
        <is>
          <t>5.00 m (500 cm)</t>
        </is>
      </c>
      <c r="D94" s="20" t="n">
        <v>15</v>
      </c>
      <c r="E94" s="19" t="n">
        <v>264</v>
      </c>
      <c r="F94" s="8" t="n">
        <v>17.6</v>
      </c>
      <c r="G94" s="22" t="n">
        <v>0.02804036112586298</v>
      </c>
      <c r="H94" s="17" t="inlineStr">
        <is>
          <t>Hat 107</t>
        </is>
      </c>
      <c r="I94" s="21" t="inlineStr">
        <is>
          <t>1 hft</t>
        </is>
      </c>
      <c r="J94" s="20" t="n">
        <v>15</v>
      </c>
      <c r="K94" s="19" t="n">
        <v>264</v>
      </c>
    </row>
    <row r="95">
      <c r="A95" s="5" t="inlineStr">
        <is>
          <t>MIX BEYAZ TEAK Levha</t>
        </is>
      </c>
      <c r="B95" s="6" t="inlineStr">
        <is>
          <t>Levha</t>
        </is>
      </c>
      <c r="C95" s="7" t="inlineStr">
        <is>
          <t>75x210 cm (0.75x2.10 m)</t>
        </is>
      </c>
      <c r="D95" s="23" t="n">
        <v>1050</v>
      </c>
      <c r="E95" s="10" t="n">
        <v>4051.7</v>
      </c>
      <c r="F95" s="8" t="n">
        <v>3.86</v>
      </c>
      <c r="G95" s="15" t="n">
        <v>0.450510142813302</v>
      </c>
      <c r="H95" s="6" t="inlineStr">
        <is>
          <t>Hat 201</t>
        </is>
      </c>
      <c r="I95" s="12" t="inlineStr">
        <is>
          <t>1 hft</t>
        </is>
      </c>
      <c r="J95" s="23" t="n">
        <v>1050</v>
      </c>
      <c r="K95" s="10" t="n">
        <v>4051.7</v>
      </c>
    </row>
    <row r="96">
      <c r="A96" s="16" t="inlineStr">
        <is>
          <t>MIX BEYAZ TEAK Levha</t>
        </is>
      </c>
      <c r="B96" s="17" t="inlineStr">
        <is>
          <t>Levha</t>
        </is>
      </c>
      <c r="C96" s="7" t="inlineStr">
        <is>
          <t>85x210 cm (0.85x2.10 m)</t>
        </is>
      </c>
      <c r="D96" s="25" t="n">
        <v>690</v>
      </c>
      <c r="E96" s="19" t="n">
        <v>3017.6</v>
      </c>
      <c r="F96" s="8" t="n">
        <v>4.37</v>
      </c>
      <c r="G96" s="22" t="n">
        <v>0.3355234189798034</v>
      </c>
      <c r="H96" s="17" t="inlineStr">
        <is>
          <t>Hat 201</t>
        </is>
      </c>
      <c r="I96" s="21" t="inlineStr">
        <is>
          <t>1 hft</t>
        </is>
      </c>
      <c r="J96" s="25" t="n">
        <v>690</v>
      </c>
      <c r="K96" s="19" t="n">
        <v>3017.6</v>
      </c>
    </row>
    <row r="97">
      <c r="A97" s="5" t="inlineStr">
        <is>
          <t>MIX BEYAZ TEAK Levha</t>
        </is>
      </c>
      <c r="B97" s="6" t="inlineStr">
        <is>
          <t>Levha</t>
        </is>
      </c>
      <c r="C97" s="7" t="inlineStr">
        <is>
          <t>94x210 cm (0.94x2.10 m)</t>
        </is>
      </c>
      <c r="D97" s="23" t="n">
        <v>245</v>
      </c>
      <c r="E97" s="10" t="n">
        <v>1184.9</v>
      </c>
      <c r="F97" s="8" t="n">
        <v>4.84</v>
      </c>
      <c r="G97" s="15" t="n">
        <v>0.1317487179715263</v>
      </c>
      <c r="H97" s="6" t="inlineStr">
        <is>
          <t>Hat 201</t>
        </is>
      </c>
      <c r="I97" s="12" t="inlineStr">
        <is>
          <t>2 hft</t>
        </is>
      </c>
      <c r="J97" s="23" t="n">
        <v>122</v>
      </c>
      <c r="K97" s="10" t="n">
        <v>592.4</v>
      </c>
    </row>
    <row r="98">
      <c r="A98" s="16" t="inlineStr">
        <is>
          <t>MIX BEYAZ TEAK Levha</t>
        </is>
      </c>
      <c r="B98" s="17" t="inlineStr">
        <is>
          <t>Levha</t>
        </is>
      </c>
      <c r="C98" s="7" t="inlineStr">
        <is>
          <t>94x207 cm (0.94x2.07 m)</t>
        </is>
      </c>
      <c r="D98" s="25" t="n">
        <v>90</v>
      </c>
      <c r="E98" s="19" t="n">
        <v>429.1</v>
      </c>
      <c r="F98" s="8" t="n">
        <v>4.77</v>
      </c>
      <c r="G98" s="22" t="n">
        <v>0.04770635877227705</v>
      </c>
      <c r="H98" s="17" t="inlineStr">
        <is>
          <t>Hat 201</t>
        </is>
      </c>
      <c r="I98" s="21" t="inlineStr">
        <is>
          <t>1 hft</t>
        </is>
      </c>
      <c r="J98" s="25" t="n">
        <v>90</v>
      </c>
      <c r="K98" s="19" t="n">
        <v>429.1</v>
      </c>
    </row>
    <row r="99">
      <c r="A99" s="5" t="inlineStr">
        <is>
          <t>MIX BEYAZ TEAK Levha</t>
        </is>
      </c>
      <c r="B99" s="6" t="inlineStr">
        <is>
          <t>Levha</t>
        </is>
      </c>
      <c r="C99" s="7" t="inlineStr">
        <is>
          <t>85x207 cm (0.85x2.07 m)</t>
        </is>
      </c>
      <c r="D99" s="23" t="n">
        <v>72</v>
      </c>
      <c r="E99" s="10" t="n">
        <v>310.4</v>
      </c>
      <c r="F99" s="8" t="n">
        <v>4.31</v>
      </c>
      <c r="G99" s="15" t="n">
        <v>0.03451136146309137</v>
      </c>
      <c r="H99" s="6" t="inlineStr">
        <is>
          <t>Hat 201</t>
        </is>
      </c>
      <c r="I99" s="12" t="inlineStr">
        <is>
          <t>1 hft</t>
        </is>
      </c>
      <c r="J99" s="23" t="n">
        <v>72</v>
      </c>
      <c r="K99" s="10" t="n">
        <v>310.4</v>
      </c>
    </row>
    <row r="100">
      <c r="A100" s="16" t="inlineStr">
        <is>
          <t>CAM ÇITASI</t>
        </is>
      </c>
      <c r="B100" s="17" t="inlineStr">
        <is>
          <t>Çıta</t>
        </is>
      </c>
      <c r="C100" s="7" t="inlineStr">
        <is>
          <t>2.20 m (220 cm)</t>
        </is>
      </c>
      <c r="D100" s="20" t="n">
        <v>5187</v>
      </c>
      <c r="E100" s="19" t="n">
        <v>7805</v>
      </c>
      <c r="F100" s="8" t="n">
        <v>1.5</v>
      </c>
      <c r="G100" s="22" t="n">
        <v>1</v>
      </c>
      <c r="H100" s="17" t="inlineStr">
        <is>
          <t>Hat 102</t>
        </is>
      </c>
      <c r="I100" s="21" t="inlineStr">
        <is>
          <t>2 hft</t>
        </is>
      </c>
      <c r="J100" s="20" t="n">
        <v>2594</v>
      </c>
      <c r="K100" s="19" t="n">
        <v>3902.5</v>
      </c>
    </row>
    <row r="101">
      <c r="A101" s="5" t="inlineStr">
        <is>
          <t>SONOMO Levha</t>
        </is>
      </c>
      <c r="B101" s="6" t="inlineStr">
        <is>
          <t>Levha</t>
        </is>
      </c>
      <c r="C101" s="7" t="inlineStr">
        <is>
          <t>85x210 cm (0.85x2.10 m)</t>
        </is>
      </c>
      <c r="D101" s="23" t="n">
        <v>1073</v>
      </c>
      <c r="E101" s="10" t="n">
        <v>4692.5</v>
      </c>
      <c r="F101" s="8" t="n">
        <v>4.37</v>
      </c>
      <c r="G101" s="15" t="n">
        <v>0.6046607521374129</v>
      </c>
      <c r="H101" s="6" t="inlineStr">
        <is>
          <t>Hat 201</t>
        </is>
      </c>
      <c r="I101" s="12" t="inlineStr">
        <is>
          <t>2 hft</t>
        </is>
      </c>
      <c r="J101" s="23" t="n">
        <v>536</v>
      </c>
      <c r="K101" s="10" t="n">
        <v>2346.2</v>
      </c>
    </row>
    <row r="102">
      <c r="A102" s="16" t="inlineStr">
        <is>
          <t>SONOMO Levha</t>
        </is>
      </c>
      <c r="B102" s="17" t="inlineStr">
        <is>
          <t>Levha</t>
        </is>
      </c>
      <c r="C102" s="7" t="inlineStr">
        <is>
          <t>94x207 cm (0.94x2.07 m)</t>
        </is>
      </c>
      <c r="D102" s="25" t="n">
        <v>205</v>
      </c>
      <c r="E102" s="19" t="n">
        <v>977.3</v>
      </c>
      <c r="F102" s="8" t="n">
        <v>4.77</v>
      </c>
      <c r="G102" s="22" t="n">
        <v>0.125929218934225</v>
      </c>
      <c r="H102" s="17" t="inlineStr">
        <is>
          <t>Hat 201</t>
        </is>
      </c>
      <c r="I102" s="21" t="inlineStr">
        <is>
          <t>3 hft</t>
        </is>
      </c>
      <c r="J102" s="25" t="n">
        <v>68</v>
      </c>
      <c r="K102" s="19" t="n">
        <v>325.8</v>
      </c>
    </row>
    <row r="103">
      <c r="A103" s="5" t="inlineStr">
        <is>
          <t>SONOMO Levha</t>
        </is>
      </c>
      <c r="B103" s="6" t="inlineStr">
        <is>
          <t>Levha</t>
        </is>
      </c>
      <c r="C103" s="7" t="inlineStr">
        <is>
          <t>80x209 cm (0.80x2.09 m)</t>
        </is>
      </c>
      <c r="D103" s="23" t="n">
        <v>200</v>
      </c>
      <c r="E103" s="10" t="n">
        <v>819.3</v>
      </c>
      <c r="F103" s="8" t="n">
        <v>4.1</v>
      </c>
      <c r="G103" s="15" t="n">
        <v>0.1055698371893745</v>
      </c>
      <c r="H103" s="6" t="inlineStr">
        <is>
          <t>Hat 201</t>
        </is>
      </c>
      <c r="I103" s="12" t="inlineStr">
        <is>
          <t>1 hft</t>
        </is>
      </c>
      <c r="J103" s="23" t="n">
        <v>200</v>
      </c>
      <c r="K103" s="10" t="n">
        <v>819.3</v>
      </c>
    </row>
    <row r="104">
      <c r="A104" s="16" t="inlineStr">
        <is>
          <t>SONOMO Levha</t>
        </is>
      </c>
      <c r="B104" s="17" t="inlineStr">
        <is>
          <t>Levha</t>
        </is>
      </c>
      <c r="C104" s="7" t="inlineStr">
        <is>
          <t>75x208 cm (0.75x2.08 m)</t>
        </is>
      </c>
      <c r="D104" s="25" t="n">
        <v>200</v>
      </c>
      <c r="E104" s="19" t="n">
        <v>764.4</v>
      </c>
      <c r="F104" s="8" t="n">
        <v>3.82</v>
      </c>
      <c r="G104" s="22" t="n">
        <v>0.09849817345420105</v>
      </c>
      <c r="H104" s="17" t="inlineStr">
        <is>
          <t>Hat 201</t>
        </is>
      </c>
      <c r="I104" s="21" t="inlineStr">
        <is>
          <t>1 hft</t>
        </is>
      </c>
      <c r="J104" s="25" t="n">
        <v>200</v>
      </c>
      <c r="K104" s="19" t="n">
        <v>764.4</v>
      </c>
    </row>
    <row r="105">
      <c r="A105" s="5" t="inlineStr">
        <is>
          <t>SONOMO Levha</t>
        </is>
      </c>
      <c r="B105" s="6" t="inlineStr">
        <is>
          <t>Levha</t>
        </is>
      </c>
      <c r="C105" s="7" t="inlineStr">
        <is>
          <t>94x248 cm (0.94x2.48 m)</t>
        </is>
      </c>
      <c r="D105" s="23" t="n">
        <v>30</v>
      </c>
      <c r="E105" s="10" t="n">
        <v>171.3</v>
      </c>
      <c r="F105" s="8" t="n">
        <v>5.71</v>
      </c>
      <c r="G105" s="15" t="n">
        <v>0.02207833207697908</v>
      </c>
      <c r="H105" s="6" t="inlineStr">
        <is>
          <t>Hat 201</t>
        </is>
      </c>
      <c r="I105" s="12" t="inlineStr">
        <is>
          <t>1 hft</t>
        </is>
      </c>
      <c r="J105" s="23" t="n">
        <v>30</v>
      </c>
      <c r="K105" s="10" t="n">
        <v>171.3</v>
      </c>
    </row>
    <row r="106">
      <c r="A106" s="16" t="inlineStr">
        <is>
          <t>SONOMO Levha</t>
        </is>
      </c>
      <c r="B106" s="17" t="inlineStr">
        <is>
          <t>Levha</t>
        </is>
      </c>
      <c r="C106" s="7" t="inlineStr">
        <is>
          <t>94x220 cm (0.94x2.20 m)</t>
        </is>
      </c>
      <c r="D106" s="25" t="n">
        <v>25</v>
      </c>
      <c r="E106" s="19" t="n">
        <v>126.7</v>
      </c>
      <c r="F106" s="8" t="n">
        <v>5.07</v>
      </c>
      <c r="G106" s="22" t="n">
        <v>0.01632229674443177</v>
      </c>
      <c r="H106" s="17" t="inlineStr">
        <is>
          <t>Hat 201</t>
        </is>
      </c>
      <c r="I106" s="21" t="inlineStr">
        <is>
          <t>1 hft</t>
        </is>
      </c>
      <c r="J106" s="25" t="n">
        <v>25</v>
      </c>
      <c r="K106" s="19" t="n">
        <v>126.7</v>
      </c>
    </row>
    <row r="107">
      <c r="A107" s="5" t="inlineStr">
        <is>
          <t>SONOMO Levha</t>
        </is>
      </c>
      <c r="B107" s="6" t="inlineStr">
        <is>
          <t>Levha</t>
        </is>
      </c>
      <c r="C107" s="7" t="inlineStr">
        <is>
          <t>85x224 cm (0.85x2.24 m)</t>
        </is>
      </c>
      <c r="D107" s="23" t="n">
        <v>26</v>
      </c>
      <c r="E107" s="10" t="n">
        <v>121.3</v>
      </c>
      <c r="F107" s="8" t="n">
        <v>4.66</v>
      </c>
      <c r="G107" s="15" t="n">
        <v>0.0156277583418701</v>
      </c>
      <c r="H107" s="6" t="inlineStr">
        <is>
          <t>Hat 201</t>
        </is>
      </c>
      <c r="I107" s="12" t="inlineStr">
        <is>
          <t>1 hft</t>
        </is>
      </c>
      <c r="J107" s="23" t="n">
        <v>26</v>
      </c>
      <c r="K107" s="10" t="n">
        <v>121.3</v>
      </c>
    </row>
    <row r="108">
      <c r="A108" s="16" t="inlineStr">
        <is>
          <t>SONOMO Levha</t>
        </is>
      </c>
      <c r="B108" s="17" t="inlineStr">
        <is>
          <t>Levha</t>
        </is>
      </c>
      <c r="C108" s="7" t="inlineStr">
        <is>
          <t>85x248 cm (0.85x2.48 m)</t>
        </is>
      </c>
      <c r="D108" s="25" t="n">
        <v>17</v>
      </c>
      <c r="E108" s="19" t="n">
        <v>87.8</v>
      </c>
      <c r="F108" s="8" t="n">
        <v>5.16</v>
      </c>
      <c r="G108" s="22" t="n">
        <v>0.01131363112150556</v>
      </c>
      <c r="H108" s="17" t="inlineStr">
        <is>
          <t>Hat 201</t>
        </is>
      </c>
      <c r="I108" s="21" t="inlineStr">
        <is>
          <t>1 hft</t>
        </is>
      </c>
      <c r="J108" s="25" t="n">
        <v>17</v>
      </c>
      <c r="K108" s="19" t="n">
        <v>87.8</v>
      </c>
    </row>
    <row r="109">
      <c r="A109" s="5" t="inlineStr">
        <is>
          <t>AY GRİ Levha</t>
        </is>
      </c>
      <c r="B109" s="6" t="inlineStr">
        <is>
          <t>Levha</t>
        </is>
      </c>
      <c r="C109" s="7" t="inlineStr">
        <is>
          <t>94x207 cm (0.94x2.07 m)</t>
        </is>
      </c>
      <c r="D109" s="23" t="n">
        <v>370</v>
      </c>
      <c r="E109" s="10" t="n">
        <v>1763.9</v>
      </c>
      <c r="F109" s="8" t="n">
        <v>4.77</v>
      </c>
      <c r="G109" s="15" t="n">
        <v>0.2933776872219219</v>
      </c>
      <c r="H109" s="6" t="inlineStr">
        <is>
          <t>Hat 201</t>
        </is>
      </c>
      <c r="I109" s="12" t="inlineStr">
        <is>
          <t>2 hft</t>
        </is>
      </c>
      <c r="J109" s="23" t="n">
        <v>185</v>
      </c>
      <c r="K109" s="10" t="n">
        <v>881.9</v>
      </c>
    </row>
    <row r="110">
      <c r="A110" s="16" t="inlineStr">
        <is>
          <t>AY GRİ Levha</t>
        </is>
      </c>
      <c r="B110" s="17" t="inlineStr">
        <is>
          <t>Levha</t>
        </is>
      </c>
      <c r="C110" s="7" t="inlineStr">
        <is>
          <t>80x217 cm (0.80x2.17 m)</t>
        </is>
      </c>
      <c r="D110" s="25" t="n">
        <v>402</v>
      </c>
      <c r="E110" s="19" t="n">
        <v>1709.8</v>
      </c>
      <c r="F110" s="8" t="n">
        <v>4.25</v>
      </c>
      <c r="G110" s="22" t="n">
        <v>0.2843843818869807</v>
      </c>
      <c r="H110" s="17" t="inlineStr">
        <is>
          <t>Hat 201</t>
        </is>
      </c>
      <c r="I110" s="21" t="inlineStr">
        <is>
          <t>1 hft</t>
        </is>
      </c>
      <c r="J110" s="25" t="n">
        <v>402</v>
      </c>
      <c r="K110" s="19" t="n">
        <v>1709.8</v>
      </c>
    </row>
    <row r="111">
      <c r="A111" s="5" t="inlineStr">
        <is>
          <t>AY GRİ Levha</t>
        </is>
      </c>
      <c r="B111" s="6" t="inlineStr">
        <is>
          <t>Levha</t>
        </is>
      </c>
      <c r="C111" s="7" t="inlineStr">
        <is>
          <t>90x215 cm (0.90x2.15 m)</t>
        </is>
      </c>
      <c r="D111" s="23" t="n">
        <v>340</v>
      </c>
      <c r="E111" s="10" t="n">
        <v>1611.9</v>
      </c>
      <c r="F111" s="8" t="n">
        <v>4.74</v>
      </c>
      <c r="G111" s="15" t="n">
        <v>0.2680959707264335</v>
      </c>
      <c r="H111" s="6" t="inlineStr">
        <is>
          <t>Hat 201</t>
        </is>
      </c>
      <c r="I111" s="12" t="inlineStr">
        <is>
          <t>1 hft</t>
        </is>
      </c>
      <c r="J111" s="23" t="n">
        <v>340</v>
      </c>
      <c r="K111" s="10" t="n">
        <v>1611.9</v>
      </c>
    </row>
    <row r="112">
      <c r="A112" s="16" t="inlineStr">
        <is>
          <t>AY GRİ Levha</t>
        </is>
      </c>
      <c r="B112" s="17" t="inlineStr">
        <is>
          <t>Levha</t>
        </is>
      </c>
      <c r="C112" s="7" t="inlineStr">
        <is>
          <t>90x217 cm (0.90x2.17 m)</t>
        </is>
      </c>
      <c r="D112" s="25" t="n">
        <v>100</v>
      </c>
      <c r="E112" s="19" t="n">
        <v>478.5</v>
      </c>
      <c r="F112" s="8" t="n">
        <v>4.78</v>
      </c>
      <c r="G112" s="22" t="n">
        <v>0.07958584556530417</v>
      </c>
      <c r="H112" s="17" t="inlineStr">
        <is>
          <t>Hat 201</t>
        </is>
      </c>
      <c r="I112" s="21" t="inlineStr">
        <is>
          <t>1 hft</t>
        </is>
      </c>
      <c r="J112" s="25" t="n">
        <v>100</v>
      </c>
      <c r="K112" s="19" t="n">
        <v>478.5</v>
      </c>
    </row>
    <row r="113">
      <c r="A113" s="5" t="inlineStr">
        <is>
          <t>AY GRİ Levha</t>
        </is>
      </c>
      <c r="B113" s="6" t="inlineStr">
        <is>
          <t>Levha</t>
        </is>
      </c>
      <c r="C113" s="7" t="inlineStr">
        <is>
          <t>100x217 cm (1.00x2.17 m)</t>
        </is>
      </c>
      <c r="D113" s="23" t="n">
        <v>75</v>
      </c>
      <c r="E113" s="10" t="n">
        <v>398.7</v>
      </c>
      <c r="F113" s="8" t="n">
        <v>5.32</v>
      </c>
      <c r="G113" s="15" t="n">
        <v>0.06632126075928313</v>
      </c>
      <c r="H113" s="6" t="inlineStr">
        <is>
          <t>Hat 201</t>
        </is>
      </c>
      <c r="I113" s="12" t="inlineStr">
        <is>
          <t>1 hft</t>
        </is>
      </c>
      <c r="J113" s="23" t="n">
        <v>75</v>
      </c>
      <c r="K113" s="10" t="n">
        <v>398.7</v>
      </c>
    </row>
    <row r="114">
      <c r="A114" s="16" t="inlineStr">
        <is>
          <t>AY GRİ Levha</t>
        </is>
      </c>
      <c r="B114" s="17" t="inlineStr">
        <is>
          <t>Levha</t>
        </is>
      </c>
      <c r="C114" s="7" t="inlineStr">
        <is>
          <t>94x215 cm (0.94x2.15 m)</t>
        </is>
      </c>
      <c r="D114" s="25" t="n">
        <v>10</v>
      </c>
      <c r="E114" s="19" t="n">
        <v>49.5</v>
      </c>
      <c r="F114" s="8" t="n">
        <v>4.95</v>
      </c>
      <c r="G114" s="22" t="n">
        <v>0.00823485384007651</v>
      </c>
      <c r="H114" s="17" t="inlineStr">
        <is>
          <t>Hat 201</t>
        </is>
      </c>
      <c r="I114" s="21" t="inlineStr">
        <is>
          <t>1 hft</t>
        </is>
      </c>
      <c r="J114" s="25" t="n">
        <v>10</v>
      </c>
      <c r="K114" s="19" t="n">
        <v>49.5</v>
      </c>
    </row>
    <row r="115">
      <c r="A115" s="5" t="inlineStr">
        <is>
          <t>ANTRASİT Levha</t>
        </is>
      </c>
      <c r="B115" s="6" t="inlineStr">
        <is>
          <t>Levha</t>
        </is>
      </c>
      <c r="C115" s="7" t="inlineStr">
        <is>
          <t>94x207 cm (0.94x2.07 m)</t>
        </is>
      </c>
      <c r="D115" s="23" t="n">
        <v>1136</v>
      </c>
      <c r="E115" s="10" t="n">
        <v>5415.6</v>
      </c>
      <c r="F115" s="8" t="n">
        <v>4.77</v>
      </c>
      <c r="G115" s="15" t="n">
        <v>0.9655107862364058</v>
      </c>
      <c r="H115" s="6" t="inlineStr">
        <is>
          <t>Hat 201</t>
        </is>
      </c>
      <c r="I115" s="12" t="inlineStr">
        <is>
          <t>4 hft</t>
        </is>
      </c>
      <c r="J115" s="23" t="n">
        <v>284</v>
      </c>
      <c r="K115" s="10" t="n">
        <v>1353.9</v>
      </c>
    </row>
    <row r="116">
      <c r="A116" s="16" t="inlineStr">
        <is>
          <t>ANTRASİT Levha</t>
        </is>
      </c>
      <c r="B116" s="17" t="inlineStr">
        <is>
          <t>Levha</t>
        </is>
      </c>
      <c r="C116" s="7" t="inlineStr">
        <is>
          <t>94x210 cm (0.94x2.10 m)</t>
        </is>
      </c>
      <c r="D116" s="25" t="n">
        <v>40</v>
      </c>
      <c r="E116" s="19" t="n">
        <v>193.4</v>
      </c>
      <c r="F116" s="8" t="n">
        <v>4.84</v>
      </c>
      <c r="G116" s="22" t="n">
        <v>0.03448921376359422</v>
      </c>
      <c r="H116" s="17" t="inlineStr">
        <is>
          <t>Hat 201</t>
        </is>
      </c>
      <c r="I116" s="21" t="inlineStr">
        <is>
          <t>1 hft</t>
        </is>
      </c>
      <c r="J116" s="25" t="n">
        <v>40</v>
      </c>
      <c r="K116" s="19" t="n">
        <v>193.4</v>
      </c>
    </row>
    <row r="117">
      <c r="A117" s="5" t="inlineStr">
        <is>
          <t>KOYU CEVİZ Levha</t>
        </is>
      </c>
      <c r="B117" s="6" t="inlineStr">
        <is>
          <t>Levha</t>
        </is>
      </c>
      <c r="C117" s="7" t="inlineStr">
        <is>
          <t>93x210 cm (0.93x2.10 m)</t>
        </is>
      </c>
      <c r="D117" s="23" t="n">
        <v>440</v>
      </c>
      <c r="E117" s="10" t="n">
        <v>2105.3</v>
      </c>
      <c r="F117" s="8" t="n">
        <v>4.78</v>
      </c>
      <c r="G117" s="15" t="n">
        <v>0.5477905878495992</v>
      </c>
      <c r="H117" s="6" t="inlineStr">
        <is>
          <t>Hat 201</t>
        </is>
      </c>
      <c r="I117" s="12" t="inlineStr">
        <is>
          <t>1 hft</t>
        </is>
      </c>
      <c r="J117" s="23" t="n">
        <v>440</v>
      </c>
      <c r="K117" s="10" t="n">
        <v>2105.3</v>
      </c>
    </row>
    <row r="118">
      <c r="A118" s="16" t="inlineStr">
        <is>
          <t>KOYU CEVİZ Levha</t>
        </is>
      </c>
      <c r="B118" s="17" t="inlineStr">
        <is>
          <t>Levha</t>
        </is>
      </c>
      <c r="C118" s="7" t="inlineStr">
        <is>
          <t>93x211 cm (0.93x2.11 m)</t>
        </is>
      </c>
      <c r="D118" s="25" t="n">
        <v>170</v>
      </c>
      <c r="E118" s="19" t="n">
        <v>817.3</v>
      </c>
      <c r="F118" s="8" t="n">
        <v>4.81</v>
      </c>
      <c r="G118" s="22" t="n">
        <v>0.2126541306627326</v>
      </c>
      <c r="H118" s="17" t="inlineStr">
        <is>
          <t>Hat 201</t>
        </is>
      </c>
      <c r="I118" s="21" t="inlineStr">
        <is>
          <t>1 hft</t>
        </is>
      </c>
      <c r="J118" s="25" t="n">
        <v>170</v>
      </c>
      <c r="K118" s="19" t="n">
        <v>817.3</v>
      </c>
    </row>
    <row r="119">
      <c r="A119" s="5" t="inlineStr">
        <is>
          <t>KOYU CEVİZ Levha</t>
        </is>
      </c>
      <c r="B119" s="6" t="inlineStr">
        <is>
          <t>Levha</t>
        </is>
      </c>
      <c r="C119" s="7" t="inlineStr">
        <is>
          <t>94x207 cm (0.94x2.07 m)</t>
        </is>
      </c>
      <c r="D119" s="23" t="n">
        <v>171</v>
      </c>
      <c r="E119" s="10" t="n">
        <v>815.2</v>
      </c>
      <c r="F119" s="8" t="n">
        <v>4.77</v>
      </c>
      <c r="G119" s="15" t="n">
        <v>0.2121077294949952</v>
      </c>
      <c r="H119" s="6" t="inlineStr">
        <is>
          <t>Hat 201</t>
        </is>
      </c>
      <c r="I119" s="12" t="inlineStr">
        <is>
          <t>2 hft</t>
        </is>
      </c>
      <c r="J119" s="23" t="n">
        <v>86</v>
      </c>
      <c r="K119" s="10" t="n">
        <v>407.6</v>
      </c>
    </row>
    <row r="120">
      <c r="A120" s="16" t="inlineStr">
        <is>
          <t>KOYU CEVİZ Levha</t>
        </is>
      </c>
      <c r="B120" s="17" t="inlineStr">
        <is>
          <t>Levha</t>
        </is>
      </c>
      <c r="C120" s="7" t="inlineStr">
        <is>
          <t>85x224 cm (0.85x2.24 m)</t>
        </is>
      </c>
      <c r="D120" s="25" t="n">
        <v>12</v>
      </c>
      <c r="E120" s="19" t="n">
        <v>56</v>
      </c>
      <c r="F120" s="8" t="n">
        <v>4.67</v>
      </c>
      <c r="G120" s="22" t="n">
        <v>0.01456549398568429</v>
      </c>
      <c r="H120" s="17" t="inlineStr">
        <is>
          <t>Hat 201</t>
        </is>
      </c>
      <c r="I120" s="21" t="inlineStr">
        <is>
          <t>1 hft</t>
        </is>
      </c>
      <c r="J120" s="25" t="n">
        <v>12</v>
      </c>
      <c r="K120" s="19" t="n">
        <v>56</v>
      </c>
    </row>
    <row r="121">
      <c r="A121" s="5" t="inlineStr">
        <is>
          <t>KOYU CEVİZ Levha</t>
        </is>
      </c>
      <c r="B121" s="6" t="inlineStr">
        <is>
          <t>Levha</t>
        </is>
      </c>
      <c r="C121" s="7" t="inlineStr">
        <is>
          <t>94x215 cm (0.94x2.15 m)</t>
        </is>
      </c>
      <c r="D121" s="23" t="n">
        <v>10</v>
      </c>
      <c r="E121" s="10" t="n">
        <v>49.5</v>
      </c>
      <c r="F121" s="8" t="n">
        <v>4.95</v>
      </c>
      <c r="G121" s="15" t="n">
        <v>0.01288205800698873</v>
      </c>
      <c r="H121" s="6" t="inlineStr">
        <is>
          <t>Hat 201</t>
        </is>
      </c>
      <c r="I121" s="12" t="inlineStr">
        <is>
          <t>1 hft</t>
        </is>
      </c>
      <c r="J121" s="23" t="n">
        <v>10</v>
      </c>
      <c r="K121" s="10" t="n">
        <v>49.5</v>
      </c>
    </row>
    <row r="122">
      <c r="A122" s="16" t="inlineStr">
        <is>
          <t>COCO Levha</t>
        </is>
      </c>
      <c r="B122" s="17" t="inlineStr">
        <is>
          <t>Levha</t>
        </is>
      </c>
      <c r="C122" s="7" t="inlineStr">
        <is>
          <t>94x208 cm (0.94x2.08 m)</t>
        </is>
      </c>
      <c r="D122" s="25" t="n">
        <v>530</v>
      </c>
      <c r="E122" s="19" t="n">
        <v>2538.8</v>
      </c>
      <c r="F122" s="8" t="n">
        <v>4.79</v>
      </c>
      <c r="G122" s="22" t="n">
        <v>0.8837783270094335</v>
      </c>
      <c r="H122" s="17" t="inlineStr">
        <is>
          <t>Hat 201</t>
        </is>
      </c>
      <c r="I122" s="21" t="inlineStr">
        <is>
          <t>1 hft</t>
        </is>
      </c>
      <c r="J122" s="25" t="n">
        <v>530</v>
      </c>
      <c r="K122" s="19" t="n">
        <v>2538.8</v>
      </c>
    </row>
    <row r="123">
      <c r="A123" s="5" t="inlineStr">
        <is>
          <t>COCO Levha</t>
        </is>
      </c>
      <c r="B123" s="6" t="inlineStr">
        <is>
          <t>Levha</t>
        </is>
      </c>
      <c r="C123" s="7" t="inlineStr">
        <is>
          <t>93x208 cm (0.93x2.08 m)</t>
        </is>
      </c>
      <c r="D123" s="23" t="n">
        <v>60</v>
      </c>
      <c r="E123" s="10" t="n">
        <v>284.4</v>
      </c>
      <c r="F123" s="8" t="n">
        <v>4.74</v>
      </c>
      <c r="G123" s="15" t="n">
        <v>0.09898701569951612</v>
      </c>
      <c r="H123" s="6" t="inlineStr">
        <is>
          <t>Hat 201</t>
        </is>
      </c>
      <c r="I123" s="12" t="inlineStr">
        <is>
          <t>1 hft</t>
        </is>
      </c>
      <c r="J123" s="23" t="n">
        <v>60</v>
      </c>
      <c r="K123" s="10" t="n">
        <v>284.4</v>
      </c>
    </row>
    <row r="124">
      <c r="A124" s="16" t="inlineStr">
        <is>
          <t>COCO Levha</t>
        </is>
      </c>
      <c r="B124" s="17" t="inlineStr">
        <is>
          <t>Levha</t>
        </is>
      </c>
      <c r="C124" s="7" t="inlineStr">
        <is>
          <t>94x215 cm (0.94x2.15 m)</t>
        </is>
      </c>
      <c r="D124" s="25" t="n">
        <v>10</v>
      </c>
      <c r="E124" s="19" t="n">
        <v>49.5</v>
      </c>
      <c r="F124" s="8" t="n">
        <v>4.95</v>
      </c>
      <c r="G124" s="22" t="n">
        <v>0.01723465729105023</v>
      </c>
      <c r="H124" s="17" t="inlineStr">
        <is>
          <t>Hat 201</t>
        </is>
      </c>
      <c r="I124" s="21" t="inlineStr">
        <is>
          <t>1 hft</t>
        </is>
      </c>
      <c r="J124" s="25" t="n">
        <v>10</v>
      </c>
      <c r="K124" s="19" t="n">
        <v>49.5</v>
      </c>
    </row>
    <row r="125">
      <c r="A125" s="5" t="inlineStr">
        <is>
          <t>U KAPAMA</t>
        </is>
      </c>
      <c r="B125" s="6" t="inlineStr">
        <is>
          <t>Profil</t>
        </is>
      </c>
      <c r="C125" s="7" t="inlineStr">
        <is>
          <t>2.30 m (230 cm)</t>
        </is>
      </c>
      <c r="D125" s="11" t="n">
        <v>2465</v>
      </c>
      <c r="E125" s="10" t="n">
        <v>1202</v>
      </c>
      <c r="F125" s="8" t="n">
        <v>0.49</v>
      </c>
      <c r="G125" s="15" t="n">
        <v>0.867870036101083</v>
      </c>
      <c r="H125" s="6" t="inlineStr">
        <is>
          <t>Hat 102</t>
        </is>
      </c>
      <c r="I125" s="12" t="inlineStr">
        <is>
          <t>2 hft</t>
        </is>
      </c>
      <c r="J125" s="11" t="n">
        <v>1232</v>
      </c>
      <c r="K125" s="10" t="n">
        <v>601</v>
      </c>
    </row>
    <row r="126">
      <c r="A126" s="16" t="inlineStr">
        <is>
          <t>U KAPAMA</t>
        </is>
      </c>
      <c r="B126" s="17" t="inlineStr">
        <is>
          <t>Profil</t>
        </is>
      </c>
      <c r="C126" s="7" t="inlineStr">
        <is>
          <t>2.15 m (215 cm)</t>
        </is>
      </c>
      <c r="D126" s="20" t="n">
        <v>436</v>
      </c>
      <c r="E126" s="19" t="n">
        <v>183</v>
      </c>
      <c r="F126" s="8" t="n">
        <v>0.42</v>
      </c>
      <c r="G126" s="22" t="n">
        <v>0.132129963898917</v>
      </c>
      <c r="H126" s="17" t="inlineStr">
        <is>
          <t>Hat 102</t>
        </is>
      </c>
      <c r="I126" s="21" t="inlineStr">
        <is>
          <t>1 hft</t>
        </is>
      </c>
      <c r="J126" s="20" t="n">
        <v>436</v>
      </c>
      <c r="K126" s="19" t="n">
        <v>183</v>
      </c>
    </row>
    <row r="127">
      <c r="A127" s="5" t="inlineStr">
        <is>
          <t>35X80 PERVAZ</t>
        </is>
      </c>
      <c r="B127" s="6" t="inlineStr">
        <is>
          <t>Pervaz</t>
        </is>
      </c>
      <c r="C127" s="7" t="inlineStr">
        <is>
          <t>2.20 m (220 cm)</t>
        </is>
      </c>
      <c r="D127" s="11" t="n">
        <v>180</v>
      </c>
      <c r="E127" s="10" t="n">
        <v>530</v>
      </c>
      <c r="F127" s="8" t="n">
        <v>2.94</v>
      </c>
      <c r="G127" s="15" t="n">
        <v>1</v>
      </c>
      <c r="H127" s="6" t="inlineStr">
        <is>
          <t>Hat 101</t>
        </is>
      </c>
      <c r="I127" s="12" t="inlineStr">
        <is>
          <t>1 hft</t>
        </is>
      </c>
      <c r="J127" s="11" t="n">
        <v>180</v>
      </c>
      <c r="K127" s="10" t="n">
        <v>530</v>
      </c>
    </row>
    <row r="128">
      <c r="A128" s="16" t="inlineStr">
        <is>
          <t>KT102-219x26-KAH</t>
        </is>
      </c>
      <c r="B128" s="17" t="inlineStr">
        <is>
          <t>Deck</t>
        </is>
      </c>
      <c r="C128" s="7" t="inlineStr">
        <is>
          <t>3.00 m (300 cm)</t>
        </is>
      </c>
      <c r="D128" s="20" t="n">
        <v>50</v>
      </c>
      <c r="E128" s="19" t="n">
        <v>463</v>
      </c>
      <c r="F128" s="8" t="n">
        <v>9.26</v>
      </c>
      <c r="G128" s="22" t="n">
        <v>1</v>
      </c>
      <c r="H128" s="17" t="inlineStr">
        <is>
          <t>Hat 107</t>
        </is>
      </c>
      <c r="I128" s="21" t="inlineStr">
        <is>
          <t>1 hft</t>
        </is>
      </c>
      <c r="J128" s="20" t="n">
        <v>50</v>
      </c>
      <c r="K128" s="19" t="n">
        <v>463</v>
      </c>
    </row>
    <row r="129">
      <c r="A129" s="26" t="inlineStr">
        <is>
          <t>GENEL TOPLAM</t>
        </is>
      </c>
      <c r="B129" s="26" t="n"/>
      <c r="C129" s="26" t="n"/>
      <c r="D129" s="28">
        <f>SUM(D5:D128)</f>
        <v/>
      </c>
      <c r="E129" s="27">
        <f>SUM(E5:E128)</f>
        <v/>
      </c>
      <c r="F129" s="26" t="n"/>
      <c r="G129" s="26" t="n"/>
      <c r="H129" s="26" t="n"/>
      <c r="I129" s="26" t="n"/>
      <c r="J129" s="26" t="n"/>
      <c r="K129" s="26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9" customWidth="1" min="1" max="1"/>
    <col width="12" customWidth="1" min="2" max="2"/>
    <col width="34" customWidth="1" min="3" max="3"/>
    <col width="13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16" customWidth="1" min="18" max="18"/>
    <col width="28" customWidth="1" min="19" max="19"/>
  </cols>
  <sheetData>
    <row r="1">
      <c r="A1" s="1" t="inlineStr">
        <is>
          <t>ERGUNBAS GROUP — ÜRÜN BAZINDA HAFTA HAFTA FİİLİ ÜRETİM TONAJI (NET KG)</t>
        </is>
      </c>
    </row>
    <row r="2">
      <c r="A2" s="2" t="inlineStr">
        <is>
          <t>W31'den W43'e kadar her hafta hangi üründen kaç kg net üretim çıktığının geçmiş trend analizi</t>
        </is>
      </c>
    </row>
    <row r="3"/>
    <row r="4">
      <c r="A4" s="3" t="inlineStr">
        <is>
          <t>Ürün Adı</t>
        </is>
      </c>
      <c r="B4" s="3" t="inlineStr">
        <is>
          <t>Kategori</t>
        </is>
      </c>
      <c r="C4" s="4" t="inlineStr">
        <is>
          <t>Ana Kesim Ölçüsü</t>
        </is>
      </c>
      <c r="D4" s="3" t="inlineStr">
        <is>
          <t>1 Boy (kg)</t>
        </is>
      </c>
      <c r="E4" s="3" t="inlineStr">
        <is>
          <t>W31 (27 Tem - 02 Ağu)</t>
        </is>
      </c>
      <c r="F4" s="3" t="inlineStr">
        <is>
          <t>W32 (03 Ağu - 09 Ağu)</t>
        </is>
      </c>
      <c r="G4" s="3" t="inlineStr">
        <is>
          <t>W33 (10 Ağu - 16 Ağu)</t>
        </is>
      </c>
      <c r="H4" s="3" t="inlineStr">
        <is>
          <t>W34 (17 Ağu - 23 Ağu)</t>
        </is>
      </c>
      <c r="I4" s="3" t="inlineStr">
        <is>
          <t>W35 (24 Ağu - 30 Ağu)</t>
        </is>
      </c>
      <c r="J4" s="3" t="inlineStr">
        <is>
          <t>W36 (31 Ağu - 06 Eyl)</t>
        </is>
      </c>
      <c r="K4" s="3" t="inlineStr">
        <is>
          <t>W37 (07 Eyl - 13 Eyl)</t>
        </is>
      </c>
      <c r="L4" s="3" t="inlineStr">
        <is>
          <t>W38 (14 Eyl - 20 Eyl)</t>
        </is>
      </c>
      <c r="M4" s="3" t="inlineStr">
        <is>
          <t>W39 (21 Eyl - 27 Eyl)</t>
        </is>
      </c>
      <c r="N4" s="3" t="inlineStr">
        <is>
          <t>W40 (28 Eyl - 04 Eki)</t>
        </is>
      </c>
      <c r="O4" s="3" t="inlineStr">
        <is>
          <t>W41 (05 Eki - 11 Eki)</t>
        </is>
      </c>
      <c r="P4" s="3" t="inlineStr">
        <is>
          <t>W42 (12 Eki - 18 Eki)</t>
        </is>
      </c>
      <c r="Q4" s="3" t="inlineStr">
        <is>
          <t>W43 (19 Eki - 25 Eki)</t>
        </is>
      </c>
      <c r="R4" s="4" t="inlineStr">
        <is>
          <t>Toplam (kg)</t>
        </is>
      </c>
      <c r="S4" s="4" t="inlineStr">
        <is>
          <t>Haftalık Ort (kg)</t>
        </is>
      </c>
    </row>
    <row r="5">
      <c r="A5" s="5" t="inlineStr">
        <is>
          <t>SEREN</t>
        </is>
      </c>
      <c r="B5" s="6" t="inlineStr">
        <is>
          <t>Seren</t>
        </is>
      </c>
      <c r="C5" s="5" t="inlineStr">
        <is>
          <t>2.10 m (210 cm) (%92.6)</t>
        </is>
      </c>
      <c r="D5" s="9" t="n">
        <v>3.41</v>
      </c>
      <c r="E5" s="29" t="n">
        <v>9703</v>
      </c>
      <c r="F5" s="29" t="n">
        <v>27399</v>
      </c>
      <c r="G5" s="29" t="n">
        <v>30763</v>
      </c>
      <c r="H5" s="29" t="n">
        <v>29511</v>
      </c>
      <c r="I5" s="29" t="n">
        <v>31482</v>
      </c>
      <c r="J5" s="29" t="n">
        <v>21934</v>
      </c>
      <c r="K5" s="29" t="n">
        <v>28269.8</v>
      </c>
      <c r="L5" s="29" t="n">
        <v>26782</v>
      </c>
      <c r="M5" s="29" t="n">
        <v>25407</v>
      </c>
      <c r="N5" s="29" t="n">
        <v>22011</v>
      </c>
      <c r="O5" s="29" t="n">
        <v>22428</v>
      </c>
      <c r="P5" s="29" t="n">
        <v>19938</v>
      </c>
      <c r="Q5" s="29" t="n">
        <v>2466</v>
      </c>
      <c r="R5" s="13">
        <f>SUM(E5:Q5)</f>
        <v/>
      </c>
      <c r="S5" s="13">
        <f>AVERAGEIF(E5:Q5, "&gt;0")</f>
        <v/>
      </c>
    </row>
    <row r="6">
      <c r="A6" s="16" t="inlineStr">
        <is>
          <t>50X80 PERVAZ</t>
        </is>
      </c>
      <c r="B6" s="17" t="inlineStr">
        <is>
          <t>Pervaz</t>
        </is>
      </c>
      <c r="C6" s="16" t="inlineStr">
        <is>
          <t>2.20 m (220 cm) (%81.1)</t>
        </is>
      </c>
      <c r="D6" s="18" t="n">
        <v>1.56</v>
      </c>
      <c r="E6" s="30" t="n">
        <v>6846</v>
      </c>
      <c r="F6" s="30" t="n">
        <v>13605</v>
      </c>
      <c r="G6" s="30" t="n">
        <v>20079</v>
      </c>
      <c r="H6" s="30" t="n">
        <v>14119</v>
      </c>
      <c r="I6" s="30" t="n">
        <v>14157</v>
      </c>
      <c r="J6" s="30" t="n">
        <v>17159</v>
      </c>
      <c r="K6" s="30" t="n">
        <v>17341</v>
      </c>
      <c r="L6" s="30" t="n">
        <v>15092.6</v>
      </c>
      <c r="M6" s="30" t="n">
        <v>17586.6</v>
      </c>
      <c r="N6" s="30" t="n">
        <v>17898</v>
      </c>
      <c r="O6" s="30" t="n">
        <v>12977.7</v>
      </c>
      <c r="P6" s="30" t="n">
        <v>16379.4</v>
      </c>
      <c r="Q6" s="30" t="n">
        <v>4833</v>
      </c>
      <c r="R6" s="13">
        <f>SUM(E6:Q6)</f>
        <v/>
      </c>
      <c r="S6" s="13">
        <f>AVERAGEIF(E6:Q6, "&gt;0")</f>
        <v/>
      </c>
    </row>
    <row r="7">
      <c r="A7" s="5" t="inlineStr">
        <is>
          <t>140 mm KASA</t>
        </is>
      </c>
      <c r="B7" s="6" t="inlineStr">
        <is>
          <t>Kasa</t>
        </is>
      </c>
      <c r="C7" s="5" t="inlineStr">
        <is>
          <t>2.15 m (215 cm) (%64.5)</t>
        </is>
      </c>
      <c r="D7" s="9" t="n">
        <v>4.98</v>
      </c>
      <c r="E7" s="29" t="n">
        <v>6971</v>
      </c>
      <c r="F7" s="29" t="n">
        <v>17233</v>
      </c>
      <c r="G7" s="29" t="n">
        <v>20581</v>
      </c>
      <c r="H7" s="29" t="n">
        <v>16288</v>
      </c>
      <c r="I7" s="29" t="n">
        <v>21801</v>
      </c>
      <c r="J7" s="29" t="n">
        <v>8995</v>
      </c>
      <c r="K7" s="29" t="n">
        <v>12469</v>
      </c>
      <c r="L7" s="29" t="n">
        <v>9512</v>
      </c>
      <c r="M7" s="29" t="n">
        <v>11222</v>
      </c>
      <c r="N7" s="29" t="n">
        <v>10842</v>
      </c>
      <c r="O7" s="29" t="n">
        <v>16105</v>
      </c>
      <c r="P7" s="29" t="n">
        <v>15689</v>
      </c>
      <c r="Q7" s="29" t="n">
        <v>5187</v>
      </c>
      <c r="R7" s="13">
        <f>SUM(E7:Q7)</f>
        <v/>
      </c>
      <c r="S7" s="13">
        <f>AVERAGEIF(E7:Q7, "&gt;0")</f>
        <v/>
      </c>
    </row>
    <row r="8">
      <c r="A8" s="16" t="inlineStr">
        <is>
          <t>100 mm KASA</t>
        </is>
      </c>
      <c r="B8" s="17" t="inlineStr">
        <is>
          <t>Kasa</t>
        </is>
      </c>
      <c r="C8" s="16" t="inlineStr">
        <is>
          <t>2.15 m (215 cm) (%96.0)</t>
        </is>
      </c>
      <c r="D8" s="18" t="n">
        <v>3.99</v>
      </c>
      <c r="E8" s="30" t="n">
        <v>4205</v>
      </c>
      <c r="F8" s="30" t="n">
        <v>11253</v>
      </c>
      <c r="G8" s="30" t="n">
        <v>10089</v>
      </c>
      <c r="H8" s="30" t="n">
        <v>8555</v>
      </c>
      <c r="I8" s="30" t="n">
        <v>7004</v>
      </c>
      <c r="J8" s="30" t="n">
        <v>11171</v>
      </c>
      <c r="K8" s="30" t="n">
        <v>15312</v>
      </c>
      <c r="L8" s="30" t="n">
        <v>15369</v>
      </c>
      <c r="M8" s="30" t="n">
        <v>21483</v>
      </c>
      <c r="N8" s="30" t="n">
        <v>15263</v>
      </c>
      <c r="O8" s="30" t="n">
        <v>3940.8</v>
      </c>
      <c r="P8" s="30" t="n">
        <v>7160</v>
      </c>
      <c r="Q8" s="30" t="n">
        <v>2063</v>
      </c>
      <c r="R8" s="13">
        <f>SUM(E8:Q8)</f>
        <v/>
      </c>
      <c r="S8" s="13">
        <f>AVERAGEIF(E8:Q8, "&gt;0")</f>
        <v/>
      </c>
    </row>
    <row r="9">
      <c r="A9" s="5" t="inlineStr">
        <is>
          <t>DIŞBUDAK Levha</t>
        </is>
      </c>
      <c r="B9" s="6" t="inlineStr">
        <is>
          <t>Levha</t>
        </is>
      </c>
      <c r="C9" s="5" t="inlineStr">
        <is>
          <t>94x207 cm (0.94x2.07 m) (%71.6)</t>
        </is>
      </c>
      <c r="D9" s="9" t="n">
        <v>4.77</v>
      </c>
      <c r="E9" s="29" t="n">
        <v>1077.8</v>
      </c>
      <c r="F9" s="29" t="n">
        <v>6861.9</v>
      </c>
      <c r="G9" s="29" t="n">
        <v>19411.5</v>
      </c>
      <c r="H9" s="29" t="n">
        <v>7449.3</v>
      </c>
      <c r="I9" s="29" t="n">
        <v>17501.1</v>
      </c>
      <c r="J9" s="29" t="n">
        <v>3730.9</v>
      </c>
      <c r="K9" s="29" t="n">
        <v>5351.3</v>
      </c>
      <c r="L9" s="29" t="n">
        <v>6447.5</v>
      </c>
      <c r="M9" s="29" t="n">
        <v>13800</v>
      </c>
      <c r="N9" s="29" t="n">
        <v>13229</v>
      </c>
      <c r="O9" s="29" t="n">
        <v>13491.2</v>
      </c>
      <c r="P9" s="29" t="n">
        <v>7842.1</v>
      </c>
      <c r="Q9" s="29" t="n">
        <v>3527.7</v>
      </c>
      <c r="R9" s="13">
        <f>SUM(E9:Q9)</f>
        <v/>
      </c>
      <c r="S9" s="13">
        <f>AVERAGEIF(E9:Q9, "&gt;0")</f>
        <v/>
      </c>
    </row>
    <row r="10">
      <c r="A10" s="16" t="inlineStr">
        <is>
          <t>200 mm KASA</t>
        </is>
      </c>
      <c r="B10" s="17" t="inlineStr">
        <is>
          <t>Kasa</t>
        </is>
      </c>
      <c r="C10" s="16" t="inlineStr">
        <is>
          <t>2.15 m (215 cm) (%68.0)</t>
        </is>
      </c>
      <c r="D10" s="18" t="n">
        <v>6.66</v>
      </c>
      <c r="E10" s="31" t="n">
        <v>0</v>
      </c>
      <c r="F10" s="31" t="n">
        <v>0</v>
      </c>
      <c r="G10" s="30" t="n">
        <v>309</v>
      </c>
      <c r="H10" s="30" t="n">
        <v>9495</v>
      </c>
      <c r="I10" s="30" t="n">
        <v>10700</v>
      </c>
      <c r="J10" s="30" t="n">
        <v>10548</v>
      </c>
      <c r="K10" s="30" t="n">
        <v>12598</v>
      </c>
      <c r="L10" s="30" t="n">
        <v>11434</v>
      </c>
      <c r="M10" s="30" t="n">
        <v>13479</v>
      </c>
      <c r="N10" s="30" t="n">
        <v>12543</v>
      </c>
      <c r="O10" s="30" t="n">
        <v>226</v>
      </c>
      <c r="P10" s="31" t="n">
        <v>0</v>
      </c>
      <c r="Q10" s="31" t="n">
        <v>0</v>
      </c>
      <c r="R10" s="13">
        <f>SUM(E10:Q10)</f>
        <v/>
      </c>
      <c r="S10" s="13">
        <f>AVERAGEIF(E10:Q10, "&gt;0")</f>
        <v/>
      </c>
    </row>
    <row r="11">
      <c r="A11" s="5" t="inlineStr">
        <is>
          <t>TEAK Levha</t>
        </is>
      </c>
      <c r="B11" s="6" t="inlineStr">
        <is>
          <t>Levha</t>
        </is>
      </c>
      <c r="C11" s="5" t="inlineStr">
        <is>
          <t>85x210 cm (0.85x2.10 m) (%20.9)</t>
        </is>
      </c>
      <c r="D11" s="9" t="n">
        <v>4.25</v>
      </c>
      <c r="E11" s="29" t="n">
        <v>3646</v>
      </c>
      <c r="F11" s="29" t="n">
        <v>1226</v>
      </c>
      <c r="G11" s="29" t="n">
        <v>5439.1</v>
      </c>
      <c r="H11" s="29" t="n">
        <v>4174.6</v>
      </c>
      <c r="I11" s="32" t="n">
        <v>0</v>
      </c>
      <c r="J11" s="32" t="n">
        <v>0</v>
      </c>
      <c r="K11" s="29" t="n">
        <v>5163.2</v>
      </c>
      <c r="L11" s="29" t="n">
        <v>8676.6</v>
      </c>
      <c r="M11" s="29" t="n">
        <v>1837.5</v>
      </c>
      <c r="N11" s="29" t="n">
        <v>533.1</v>
      </c>
      <c r="O11" s="29" t="n">
        <v>8372.799999999999</v>
      </c>
      <c r="P11" s="29" t="n">
        <v>677.1</v>
      </c>
      <c r="Q11" s="32" t="n">
        <v>0</v>
      </c>
      <c r="R11" s="13">
        <f>SUM(E11:Q11)</f>
        <v/>
      </c>
      <c r="S11" s="13">
        <f>AVERAGEIF(E11:Q11, "&gt;0")</f>
        <v/>
      </c>
    </row>
    <row r="12">
      <c r="A12" s="16" t="inlineStr">
        <is>
          <t>MIX TEAK Levha</t>
        </is>
      </c>
      <c r="B12" s="17" t="inlineStr">
        <is>
          <t>Levha</t>
        </is>
      </c>
      <c r="C12" s="16" t="inlineStr">
        <is>
          <t>85x210 cm (0.85x2.10 m) (%51.1)</t>
        </is>
      </c>
      <c r="D12" s="18" t="n">
        <v>4.37</v>
      </c>
      <c r="E12" s="31" t="n">
        <v>0</v>
      </c>
      <c r="F12" s="30" t="n">
        <v>1457.8</v>
      </c>
      <c r="G12" s="30" t="n">
        <v>940.4</v>
      </c>
      <c r="H12" s="30" t="n">
        <v>5559.9</v>
      </c>
      <c r="I12" s="30" t="n">
        <v>11185.5</v>
      </c>
      <c r="J12" s="30" t="n">
        <v>7157.5</v>
      </c>
      <c r="K12" s="31" t="n">
        <v>0</v>
      </c>
      <c r="L12" s="31" t="n">
        <v>0</v>
      </c>
      <c r="M12" s="31" t="n">
        <v>0</v>
      </c>
      <c r="N12" s="31" t="n">
        <v>0</v>
      </c>
      <c r="O12" s="31" t="n">
        <v>0</v>
      </c>
      <c r="P12" s="30" t="n">
        <v>5214.5</v>
      </c>
      <c r="Q12" s="30" t="n">
        <v>1443.2</v>
      </c>
      <c r="R12" s="13">
        <f>SUM(E12:Q12)</f>
        <v/>
      </c>
      <c r="S12" s="13">
        <f>AVERAGEIF(E12:Q12, "&gt;0")</f>
        <v/>
      </c>
    </row>
    <row r="13">
      <c r="A13" s="5" t="inlineStr">
        <is>
          <t>BEYAZ TEAK Levha</t>
        </is>
      </c>
      <c r="B13" s="6" t="inlineStr">
        <is>
          <t>Levha</t>
        </is>
      </c>
      <c r="C13" s="5" t="inlineStr">
        <is>
          <t>75x210 cm (0.75x2.10 m) (%26.0)</t>
        </is>
      </c>
      <c r="D13" s="9" t="n">
        <v>4.47</v>
      </c>
      <c r="E13" s="29" t="n">
        <v>4419</v>
      </c>
      <c r="F13" s="29" t="n">
        <v>120.9</v>
      </c>
      <c r="G13" s="29" t="n">
        <v>3107.3</v>
      </c>
      <c r="H13" s="29" t="n">
        <v>5277.3</v>
      </c>
      <c r="I13" s="29" t="n">
        <v>1232.2</v>
      </c>
      <c r="J13" s="29" t="n">
        <v>104.9</v>
      </c>
      <c r="K13" s="32" t="n">
        <v>0</v>
      </c>
      <c r="L13" s="32" t="n">
        <v>0</v>
      </c>
      <c r="M13" s="29" t="n">
        <v>3692.1</v>
      </c>
      <c r="N13" s="29" t="n">
        <v>3395.7</v>
      </c>
      <c r="O13" s="29" t="n">
        <v>5805.4</v>
      </c>
      <c r="P13" s="29" t="n">
        <v>5329.4</v>
      </c>
      <c r="Q13" s="32" t="n">
        <v>0</v>
      </c>
      <c r="R13" s="13">
        <f>SUM(E13:Q13)</f>
        <v/>
      </c>
      <c r="S13" s="13">
        <f>AVERAGEIF(E13:Q13, "&gt;0")</f>
        <v/>
      </c>
    </row>
    <row r="14">
      <c r="A14" s="16" t="inlineStr">
        <is>
          <t>SEREN(39mm)</t>
        </is>
      </c>
      <c r="B14" s="17" t="inlineStr">
        <is>
          <t>Seren</t>
        </is>
      </c>
      <c r="C14" s="16" t="inlineStr">
        <is>
          <t>2.10 m (210 cm) (%100.0)</t>
        </is>
      </c>
      <c r="D14" s="18" t="n">
        <v>3.82</v>
      </c>
      <c r="E14" s="31" t="n">
        <v>0</v>
      </c>
      <c r="F14" s="31" t="n">
        <v>0</v>
      </c>
      <c r="G14" s="31" t="n">
        <v>0</v>
      </c>
      <c r="H14" s="31" t="n">
        <v>0</v>
      </c>
      <c r="I14" s="31" t="n">
        <v>0</v>
      </c>
      <c r="J14" s="31" t="n">
        <v>0</v>
      </c>
      <c r="K14" s="31" t="n">
        <v>0</v>
      </c>
      <c r="L14" s="31" t="n">
        <v>0</v>
      </c>
      <c r="M14" s="31" t="n">
        <v>0</v>
      </c>
      <c r="N14" s="31" t="n">
        <v>0</v>
      </c>
      <c r="O14" s="30" t="n">
        <v>9711</v>
      </c>
      <c r="P14" s="30" t="n">
        <v>15754</v>
      </c>
      <c r="Q14" s="30" t="n">
        <v>4877</v>
      </c>
      <c r="R14" s="13">
        <f>SUM(E14:Q14)</f>
        <v/>
      </c>
      <c r="S14" s="13">
        <f>AVERAGEIF(E14:Q14, "&gt;0")</f>
        <v/>
      </c>
    </row>
    <row r="15">
      <c r="A15" s="5" t="inlineStr">
        <is>
          <t>VIZON Levha</t>
        </is>
      </c>
      <c r="B15" s="6" t="inlineStr">
        <is>
          <t>Levha</t>
        </is>
      </c>
      <c r="C15" s="5" t="inlineStr">
        <is>
          <t>94x207 cm (0.94x2.07 m) (%60.7)</t>
        </is>
      </c>
      <c r="D15" s="9" t="n">
        <v>4.77</v>
      </c>
      <c r="E15" s="32" t="n">
        <v>0</v>
      </c>
      <c r="F15" s="29" t="n">
        <v>3673.7</v>
      </c>
      <c r="G15" s="29" t="n">
        <v>568.7</v>
      </c>
      <c r="H15" s="32" t="n">
        <v>0</v>
      </c>
      <c r="I15" s="29" t="n">
        <v>1025</v>
      </c>
      <c r="J15" s="29" t="n">
        <v>95.3</v>
      </c>
      <c r="K15" s="29" t="n">
        <v>1344.3</v>
      </c>
      <c r="L15" s="29" t="n">
        <v>5568.1</v>
      </c>
      <c r="M15" s="29" t="n">
        <v>1606.6</v>
      </c>
      <c r="N15" s="32" t="n">
        <v>0</v>
      </c>
      <c r="O15" s="29" t="n">
        <v>181.2</v>
      </c>
      <c r="P15" s="29" t="n">
        <v>4304.8</v>
      </c>
      <c r="Q15" s="32" t="n">
        <v>0</v>
      </c>
      <c r="R15" s="13">
        <f>SUM(E15:Q15)</f>
        <v/>
      </c>
      <c r="S15" s="13">
        <f>AVERAGEIF(E15:Q15, "&gt;0")</f>
        <v/>
      </c>
    </row>
    <row r="16">
      <c r="A16" s="16" t="inlineStr">
        <is>
          <t>KT100-220x24-ANT</t>
        </is>
      </c>
      <c r="B16" s="17" t="inlineStr">
        <is>
          <t>Deck</t>
        </is>
      </c>
      <c r="C16" s="16" t="inlineStr">
        <is>
          <t>3.00 m (300 cm) (%70.4)</t>
        </is>
      </c>
      <c r="D16" s="18" t="n">
        <v>10.33</v>
      </c>
      <c r="E16" s="30" t="n">
        <v>2982</v>
      </c>
      <c r="F16" s="30" t="n">
        <v>5174</v>
      </c>
      <c r="G16" s="30" t="n">
        <v>9522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  <c r="N16" s="31" t="n">
        <v>0</v>
      </c>
      <c r="O16" s="31" t="n">
        <v>0</v>
      </c>
      <c r="P16" s="31" t="n">
        <v>0</v>
      </c>
      <c r="Q16" s="31" t="n">
        <v>0</v>
      </c>
      <c r="R16" s="13">
        <f>SUM(E16:Q16)</f>
        <v/>
      </c>
      <c r="S16" s="13">
        <f>AVERAGEIF(E16:Q16, "&gt;0")</f>
        <v/>
      </c>
    </row>
    <row r="17">
      <c r="A17" s="5" t="inlineStr">
        <is>
          <t>80X80 PERVAZ</t>
        </is>
      </c>
      <c r="B17" s="6" t="inlineStr">
        <is>
          <t>Pervaz</t>
        </is>
      </c>
      <c r="C17" s="5" t="inlineStr">
        <is>
          <t>2.24 m (224 cm) (%92.9)</t>
        </is>
      </c>
      <c r="D17" s="9" t="n">
        <v>2.2</v>
      </c>
      <c r="E17" s="29" t="n">
        <v>2130</v>
      </c>
      <c r="F17" s="29" t="n">
        <v>2313</v>
      </c>
      <c r="G17" s="29" t="n">
        <v>6200</v>
      </c>
      <c r="H17" s="29" t="n">
        <v>2675</v>
      </c>
      <c r="I17" s="29" t="n">
        <v>1021</v>
      </c>
      <c r="J17" s="32" t="n">
        <v>0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0</v>
      </c>
      <c r="R17" s="13">
        <f>SUM(E17:Q17)</f>
        <v/>
      </c>
      <c r="S17" s="13">
        <f>AVERAGEIF(E17:Q17, "&gt;0")</f>
        <v/>
      </c>
    </row>
    <row r="18">
      <c r="A18" s="16" t="inlineStr">
        <is>
          <t>35X100 PERVAZ</t>
        </is>
      </c>
      <c r="B18" s="17" t="inlineStr">
        <is>
          <t>Pervaz</t>
        </is>
      </c>
      <c r="C18" s="16" t="inlineStr">
        <is>
          <t>2.20 m (220 cm) (%94.8)</t>
        </is>
      </c>
      <c r="D18" s="18" t="n">
        <v>2.09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0" t="n">
        <v>3062</v>
      </c>
      <c r="N18" s="31" t="n">
        <v>0</v>
      </c>
      <c r="O18" s="30" t="n">
        <v>4707</v>
      </c>
      <c r="P18" s="30" t="n">
        <v>2666</v>
      </c>
      <c r="Q18" s="31" t="n">
        <v>0</v>
      </c>
      <c r="R18" s="13">
        <f>SUM(E18:Q18)</f>
        <v/>
      </c>
      <c r="S18" s="13">
        <f>AVERAGEIF(E18:Q18, "&gt;0")</f>
        <v/>
      </c>
    </row>
    <row r="19">
      <c r="A19" s="5" t="inlineStr">
        <is>
          <t>35X150 PERVAZ</t>
        </is>
      </c>
      <c r="B19" s="6" t="inlineStr">
        <is>
          <t>Pervaz</t>
        </is>
      </c>
      <c r="C19" s="5" t="inlineStr">
        <is>
          <t>2.20 m (220 cm) (%100.0)</t>
        </is>
      </c>
      <c r="D19" s="9" t="n">
        <v>2.97</v>
      </c>
      <c r="E19" s="32" t="n">
        <v>0</v>
      </c>
      <c r="F19" s="32" t="n">
        <v>0</v>
      </c>
      <c r="G19" s="32" t="n">
        <v>0</v>
      </c>
      <c r="H19" s="32" t="n">
        <v>0</v>
      </c>
      <c r="I19" s="32" t="n">
        <v>0</v>
      </c>
      <c r="J19" s="32" t="n">
        <v>0</v>
      </c>
      <c r="K19" s="29" t="n">
        <v>4898</v>
      </c>
      <c r="L19" s="29" t="n">
        <v>4624</v>
      </c>
      <c r="M19" s="32" t="n">
        <v>0</v>
      </c>
      <c r="N19" s="32" t="n">
        <v>0</v>
      </c>
      <c r="O19" s="32" t="n">
        <v>0</v>
      </c>
      <c r="P19" s="32" t="n">
        <v>0</v>
      </c>
      <c r="Q19" s="32" t="n">
        <v>0</v>
      </c>
      <c r="R19" s="13">
        <f>SUM(E19:Q19)</f>
        <v/>
      </c>
      <c r="S19" s="13">
        <f>AVERAGEIF(E19:Q19, "&gt;0")</f>
        <v/>
      </c>
    </row>
    <row r="20">
      <c r="A20" s="16" t="inlineStr">
        <is>
          <t>KT102-219x26-ANT</t>
        </is>
      </c>
      <c r="B20" s="17" t="inlineStr">
        <is>
          <t>Deck</t>
        </is>
      </c>
      <c r="C20" s="16" t="inlineStr">
        <is>
          <t>3.00 m (300 cm) (%81.1)</t>
        </is>
      </c>
      <c r="D20" s="18" t="n">
        <v>10.52</v>
      </c>
      <c r="E20" s="30" t="n">
        <v>1833</v>
      </c>
      <c r="F20" s="30" t="n">
        <v>6480</v>
      </c>
      <c r="G20" s="30" t="n">
        <v>1102</v>
      </c>
      <c r="H20" s="31" t="n">
        <v>0</v>
      </c>
      <c r="I20" s="31" t="n">
        <v>0</v>
      </c>
      <c r="J20" s="31" t="n">
        <v>0</v>
      </c>
      <c r="K20" s="31" t="n">
        <v>0</v>
      </c>
      <c r="L20" s="31" t="n">
        <v>0</v>
      </c>
      <c r="M20" s="31" t="n">
        <v>0</v>
      </c>
      <c r="N20" s="31" t="n">
        <v>0</v>
      </c>
      <c r="O20" s="31" t="n">
        <v>0</v>
      </c>
      <c r="P20" s="31" t="n">
        <v>0</v>
      </c>
      <c r="Q20" s="31" t="n">
        <v>0</v>
      </c>
      <c r="R20" s="13">
        <f>SUM(E20:Q20)</f>
        <v/>
      </c>
      <c r="S20" s="13">
        <f>AVERAGEIF(E20:Q20, "&gt;0")</f>
        <v/>
      </c>
    </row>
    <row r="21">
      <c r="A21" s="5" t="inlineStr">
        <is>
          <t>MIX BEYAZ TEAK Levha</t>
        </is>
      </c>
      <c r="B21" s="6" t="inlineStr">
        <is>
          <t>Levha</t>
        </is>
      </c>
      <c r="C21" s="5" t="inlineStr">
        <is>
          <t>75x210 cm (0.75x2.10 m) (%45.1)</t>
        </is>
      </c>
      <c r="D21" s="9" t="n">
        <v>4.19</v>
      </c>
      <c r="E21" s="32" t="n">
        <v>0</v>
      </c>
      <c r="F21" s="32" t="n">
        <v>0</v>
      </c>
      <c r="G21" s="29" t="n">
        <v>429.1</v>
      </c>
      <c r="H21" s="32" t="n">
        <v>0</v>
      </c>
      <c r="I21" s="29" t="n">
        <v>310.4</v>
      </c>
      <c r="J21" s="32" t="n">
        <v>0</v>
      </c>
      <c r="K21" s="32" t="n">
        <v>0</v>
      </c>
      <c r="L21" s="32" t="n">
        <v>0</v>
      </c>
      <c r="M21" s="29" t="n">
        <v>72.5</v>
      </c>
      <c r="N21" s="29" t="n">
        <v>4051.7</v>
      </c>
      <c r="O21" s="32" t="n">
        <v>0</v>
      </c>
      <c r="P21" s="29" t="n">
        <v>4129.9</v>
      </c>
      <c r="Q21" s="32" t="n">
        <v>0</v>
      </c>
      <c r="R21" s="13">
        <f>SUM(E21:Q21)</f>
        <v/>
      </c>
      <c r="S21" s="13">
        <f>AVERAGEIF(E21:Q21, "&gt;0")</f>
        <v/>
      </c>
    </row>
    <row r="22">
      <c r="A22" s="16" t="inlineStr">
        <is>
          <t>CAM ÇITASI</t>
        </is>
      </c>
      <c r="B22" s="17" t="inlineStr">
        <is>
          <t>Çıta</t>
        </is>
      </c>
      <c r="C22" s="16" t="inlineStr">
        <is>
          <t>2.20 m (220 cm) (%100.0)</t>
        </is>
      </c>
      <c r="D22" s="18" t="n">
        <v>1.5</v>
      </c>
      <c r="E22" s="31" t="n">
        <v>0</v>
      </c>
      <c r="F22" s="31" t="n">
        <v>0</v>
      </c>
      <c r="G22" s="31" t="n">
        <v>0</v>
      </c>
      <c r="H22" s="31" t="n">
        <v>0</v>
      </c>
      <c r="I22" s="31" t="n">
        <v>0</v>
      </c>
      <c r="J22" s="30" t="n">
        <v>4295</v>
      </c>
      <c r="K22" s="30" t="n">
        <v>3510</v>
      </c>
      <c r="L22" s="31" t="n">
        <v>0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13">
        <f>SUM(E22:Q22)</f>
        <v/>
      </c>
      <c r="S22" s="13">
        <f>AVERAGEIF(E22:Q22, "&gt;0")</f>
        <v/>
      </c>
    </row>
    <row r="23">
      <c r="A23" s="5" t="inlineStr">
        <is>
          <t>SONOMO Levha</t>
        </is>
      </c>
      <c r="B23" s="6" t="inlineStr">
        <is>
          <t>Levha</t>
        </is>
      </c>
      <c r="C23" s="5" t="inlineStr">
        <is>
          <t>85x210 cm (0.85x2.10 m) (%60.5)</t>
        </is>
      </c>
      <c r="D23" s="9" t="n">
        <v>4.37</v>
      </c>
      <c r="E23" s="32" t="n">
        <v>0</v>
      </c>
      <c r="F23" s="29" t="n">
        <v>121.3</v>
      </c>
      <c r="G23" s="29" t="n">
        <v>819.3</v>
      </c>
      <c r="H23" s="29" t="n">
        <v>188.1</v>
      </c>
      <c r="I23" s="32" t="n">
        <v>0</v>
      </c>
      <c r="J23" s="32" t="n">
        <v>0</v>
      </c>
      <c r="K23" s="29" t="n">
        <v>764.4</v>
      </c>
      <c r="L23" s="32" t="n">
        <v>0</v>
      </c>
      <c r="M23" s="29" t="n">
        <v>521.3</v>
      </c>
      <c r="N23" s="29" t="n">
        <v>95.3</v>
      </c>
      <c r="O23" s="29" t="n">
        <v>4504.4</v>
      </c>
      <c r="P23" s="29" t="n">
        <v>619.7</v>
      </c>
      <c r="Q23" s="29" t="n">
        <v>126.7</v>
      </c>
      <c r="R23" s="13">
        <f>SUM(E23:Q23)</f>
        <v/>
      </c>
      <c r="S23" s="13">
        <f>AVERAGEIF(E23:Q23, "&gt;0")</f>
        <v/>
      </c>
    </row>
    <row r="24">
      <c r="A24" s="16" t="inlineStr">
        <is>
          <t>AY GRİ Levha</t>
        </is>
      </c>
      <c r="B24" s="17" t="inlineStr">
        <is>
          <t>Levha</t>
        </is>
      </c>
      <c r="C24" s="16" t="inlineStr">
        <is>
          <t>94x207 cm (0.94x2.07 m) (%29.3)</t>
        </is>
      </c>
      <c r="D24" s="18" t="n">
        <v>4.64</v>
      </c>
      <c r="E24" s="31" t="n">
        <v>0</v>
      </c>
      <c r="F24" s="31" t="n">
        <v>0</v>
      </c>
      <c r="G24" s="31" t="n">
        <v>0</v>
      </c>
      <c r="H24" s="31" t="n">
        <v>0</v>
      </c>
      <c r="I24" s="31" t="n">
        <v>0</v>
      </c>
      <c r="J24" s="31" t="n">
        <v>0</v>
      </c>
      <c r="K24" s="30" t="n">
        <v>3321.6</v>
      </c>
      <c r="L24" s="30" t="n">
        <v>877.2</v>
      </c>
      <c r="M24" s="30" t="n">
        <v>1191.8</v>
      </c>
      <c r="N24" s="30" t="n">
        <v>621.6</v>
      </c>
      <c r="O24" s="31" t="n">
        <v>0</v>
      </c>
      <c r="P24" s="31" t="n">
        <v>0</v>
      </c>
      <c r="Q24" s="31" t="n">
        <v>0</v>
      </c>
      <c r="R24" s="13">
        <f>SUM(E24:Q24)</f>
        <v/>
      </c>
      <c r="S24" s="13">
        <f>AVERAGEIF(E24:Q24, "&gt;0")</f>
        <v/>
      </c>
    </row>
    <row r="25">
      <c r="A25" s="5" t="inlineStr">
        <is>
          <t>ANTRASİT Levha</t>
        </is>
      </c>
      <c r="B25" s="6" t="inlineStr">
        <is>
          <t>Levha</t>
        </is>
      </c>
      <c r="C25" s="5" t="inlineStr">
        <is>
          <t>94x207 cm (0.94x2.07 m) (%96.6)</t>
        </is>
      </c>
      <c r="D25" s="9" t="n">
        <v>4.77</v>
      </c>
      <c r="E25" s="32" t="n">
        <v>0</v>
      </c>
      <c r="F25" s="32" t="n">
        <v>0</v>
      </c>
      <c r="G25" s="32" t="n">
        <v>0</v>
      </c>
      <c r="H25" s="29" t="n">
        <v>2359.8</v>
      </c>
      <c r="I25" s="29" t="n">
        <v>1797.2</v>
      </c>
      <c r="J25" s="29" t="n">
        <v>1239.5</v>
      </c>
      <c r="K25" s="32" t="n">
        <v>0</v>
      </c>
      <c r="L25" s="32" t="n">
        <v>0</v>
      </c>
      <c r="M25" s="32" t="n">
        <v>0</v>
      </c>
      <c r="N25" s="32" t="n">
        <v>0</v>
      </c>
      <c r="O25" s="29" t="n">
        <v>193.4</v>
      </c>
      <c r="P25" s="32" t="n">
        <v>0</v>
      </c>
      <c r="Q25" s="29" t="n">
        <v>19.1</v>
      </c>
      <c r="R25" s="13">
        <f>SUM(E25:Q25)</f>
        <v/>
      </c>
      <c r="S25" s="13">
        <f>AVERAGEIF(E25:Q25, "&gt;0")</f>
        <v/>
      </c>
    </row>
    <row r="26">
      <c r="A26" s="16" t="inlineStr">
        <is>
          <t>KOYU CEVİZ Levha</t>
        </is>
      </c>
      <c r="B26" s="17" t="inlineStr">
        <is>
          <t>Levha</t>
        </is>
      </c>
      <c r="C26" s="16" t="inlineStr">
        <is>
          <t>93x210 cm (0.93x2.10 m) (%54.8)</t>
        </is>
      </c>
      <c r="D26" s="18" t="n">
        <v>4.79</v>
      </c>
      <c r="E26" s="31" t="n">
        <v>0</v>
      </c>
      <c r="F26" s="30" t="n">
        <v>2161.3</v>
      </c>
      <c r="G26" s="30" t="n">
        <v>817.3</v>
      </c>
      <c r="H26" s="30" t="n">
        <v>500.6</v>
      </c>
      <c r="I26" s="31" t="n">
        <v>0</v>
      </c>
      <c r="J26" s="30" t="n">
        <v>314.6</v>
      </c>
      <c r="K26" s="31" t="n">
        <v>0</v>
      </c>
      <c r="L26" s="31" t="n">
        <v>0</v>
      </c>
      <c r="M26" s="31" t="n">
        <v>0</v>
      </c>
      <c r="N26" s="30" t="n">
        <v>49.5</v>
      </c>
      <c r="O26" s="31" t="n">
        <v>0</v>
      </c>
      <c r="P26" s="31" t="n">
        <v>0</v>
      </c>
      <c r="Q26" s="31" t="n">
        <v>0</v>
      </c>
      <c r="R26" s="13">
        <f>SUM(E26:Q26)</f>
        <v/>
      </c>
      <c r="S26" s="13">
        <f>AVERAGEIF(E26:Q26, "&gt;0")</f>
        <v/>
      </c>
    </row>
    <row r="27">
      <c r="A27" s="5" t="inlineStr">
        <is>
          <t>COCO Levha</t>
        </is>
      </c>
      <c r="B27" s="6" t="inlineStr">
        <is>
          <t>Levha</t>
        </is>
      </c>
      <c r="C27" s="5" t="inlineStr">
        <is>
          <t>94x208 cm (0.94x2.08 m) (%88.4)</t>
        </is>
      </c>
      <c r="D27" s="9" t="n">
        <v>4.79</v>
      </c>
      <c r="E27" s="32" t="n">
        <v>0</v>
      </c>
      <c r="F27" s="32" t="n">
        <v>0</v>
      </c>
      <c r="G27" s="32" t="n">
        <v>0</v>
      </c>
      <c r="H27" s="29" t="n">
        <v>2538.8</v>
      </c>
      <c r="I27" s="32" t="n">
        <v>0</v>
      </c>
      <c r="J27" s="32" t="n">
        <v>0</v>
      </c>
      <c r="K27" s="32" t="n">
        <v>0</v>
      </c>
      <c r="L27" s="32" t="n">
        <v>0</v>
      </c>
      <c r="M27" s="29" t="n">
        <v>284.4</v>
      </c>
      <c r="N27" s="29" t="n">
        <v>49.5</v>
      </c>
      <c r="O27" s="32" t="n">
        <v>0</v>
      </c>
      <c r="P27" s="32" t="n">
        <v>0</v>
      </c>
      <c r="Q27" s="32" t="n">
        <v>0</v>
      </c>
      <c r="R27" s="13">
        <f>SUM(E27:Q27)</f>
        <v/>
      </c>
      <c r="S27" s="13">
        <f>AVERAGEIF(E27:Q27, "&gt;0")</f>
        <v/>
      </c>
    </row>
    <row r="28">
      <c r="A28" s="16" t="inlineStr">
        <is>
          <t>U KAPAMA</t>
        </is>
      </c>
      <c r="B28" s="17" t="inlineStr">
        <is>
          <t>Profil</t>
        </is>
      </c>
      <c r="C28" s="16" t="inlineStr">
        <is>
          <t>2.30 m (230 cm) (%86.8)</t>
        </is>
      </c>
      <c r="D28" s="18" t="n">
        <v>0.48</v>
      </c>
      <c r="E28" s="31" t="n">
        <v>0</v>
      </c>
      <c r="F28" s="31" t="n">
        <v>0</v>
      </c>
      <c r="G28" s="31" t="n">
        <v>0</v>
      </c>
      <c r="H28" s="31" t="n">
        <v>0</v>
      </c>
      <c r="I28" s="30" t="n">
        <v>548</v>
      </c>
      <c r="J28" s="30" t="n">
        <v>837</v>
      </c>
      <c r="K28" s="31" t="n">
        <v>0</v>
      </c>
      <c r="L28" s="31" t="n">
        <v>0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13">
        <f>SUM(E28:Q28)</f>
        <v/>
      </c>
      <c r="S28" s="13">
        <f>AVERAGEIF(E28:Q28, "&gt;0")</f>
        <v/>
      </c>
    </row>
    <row r="29">
      <c r="A29" s="5" t="inlineStr">
        <is>
          <t>35X80 PERVAZ</t>
        </is>
      </c>
      <c r="B29" s="6" t="inlineStr">
        <is>
          <t>Pervaz</t>
        </is>
      </c>
      <c r="C29" s="5" t="inlineStr">
        <is>
          <t>2.20 m (220 cm) (%100.0)</t>
        </is>
      </c>
      <c r="D29" s="9" t="n">
        <v>2.94</v>
      </c>
      <c r="E29" s="32" t="n">
        <v>0</v>
      </c>
      <c r="F29" s="32" t="n">
        <v>0</v>
      </c>
      <c r="G29" s="32" t="n">
        <v>0</v>
      </c>
      <c r="H29" s="32" t="n">
        <v>0</v>
      </c>
      <c r="I29" s="32" t="n">
        <v>0</v>
      </c>
      <c r="J29" s="32" t="n">
        <v>0</v>
      </c>
      <c r="K29" s="32" t="n">
        <v>0</v>
      </c>
      <c r="L29" s="29" t="n">
        <v>530</v>
      </c>
      <c r="M29" s="32" t="n">
        <v>0</v>
      </c>
      <c r="N29" s="32" t="n">
        <v>0</v>
      </c>
      <c r="O29" s="32" t="n">
        <v>0</v>
      </c>
      <c r="P29" s="32" t="n">
        <v>0</v>
      </c>
      <c r="Q29" s="32" t="n">
        <v>0</v>
      </c>
      <c r="R29" s="13">
        <f>SUM(E29:Q29)</f>
        <v/>
      </c>
      <c r="S29" s="13">
        <f>AVERAGEIF(E29:Q29, "&gt;0")</f>
        <v/>
      </c>
    </row>
    <row r="30">
      <c r="A30" s="16" t="inlineStr">
        <is>
          <t>KT102-219x26-KAH</t>
        </is>
      </c>
      <c r="B30" s="17" t="inlineStr">
        <is>
          <t>Deck</t>
        </is>
      </c>
      <c r="C30" s="16" t="inlineStr">
        <is>
          <t>3.00 m (300 cm) (%100.0)</t>
        </is>
      </c>
      <c r="D30" s="18" t="n">
        <v>9.26</v>
      </c>
      <c r="E30" s="31" t="n">
        <v>0</v>
      </c>
      <c r="F30" s="31" t="n">
        <v>0</v>
      </c>
      <c r="G30" s="30" t="n">
        <v>463</v>
      </c>
      <c r="H30" s="31" t="n">
        <v>0</v>
      </c>
      <c r="I30" s="31" t="n">
        <v>0</v>
      </c>
      <c r="J30" s="31" t="n">
        <v>0</v>
      </c>
      <c r="K30" s="31" t="n">
        <v>0</v>
      </c>
      <c r="L30" s="31" t="n">
        <v>0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13">
        <f>SUM(E30:Q30)</f>
        <v/>
      </c>
      <c r="S30" s="13">
        <f>AVERAGEIF(E30:Q30, "&gt;0")</f>
        <v/>
      </c>
    </row>
    <row r="31">
      <c r="A31" s="26" t="inlineStr">
        <is>
          <t>HAFTALIK TOPLAM FABRİKA ÜRETİMİ (KG)</t>
        </is>
      </c>
      <c r="B31" s="26" t="n"/>
      <c r="C31" s="26" t="n"/>
      <c r="D31" s="26" t="n"/>
      <c r="E31" s="33">
        <f>SUM(E5:E30)</f>
        <v/>
      </c>
      <c r="F31" s="33">
        <f>SUM(F5:F30)</f>
        <v/>
      </c>
      <c r="G31" s="33">
        <f>SUM(G5:G30)</f>
        <v/>
      </c>
      <c r="H31" s="33">
        <f>SUM(H5:H30)</f>
        <v/>
      </c>
      <c r="I31" s="33">
        <f>SUM(I5:I30)</f>
        <v/>
      </c>
      <c r="J31" s="33">
        <f>SUM(J5:J30)</f>
        <v/>
      </c>
      <c r="K31" s="33">
        <f>SUM(K5:K30)</f>
        <v/>
      </c>
      <c r="L31" s="33">
        <f>SUM(L5:L30)</f>
        <v/>
      </c>
      <c r="M31" s="33">
        <f>SUM(M5:M30)</f>
        <v/>
      </c>
      <c r="N31" s="33">
        <f>SUM(N5:N30)</f>
        <v/>
      </c>
      <c r="O31" s="33">
        <f>SUM(O5:O30)</f>
        <v/>
      </c>
      <c r="P31" s="33">
        <f>SUM(P5:P30)</f>
        <v/>
      </c>
      <c r="Q31" s="33">
        <f>SUM(Q5:Q30)</f>
        <v/>
      </c>
      <c r="R31" s="33">
        <f>SUM(R5:R30)</f>
        <v/>
      </c>
      <c r="S31" s="33">
        <f>SUM(S5:S30)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7" customWidth="1" min="1" max="1"/>
    <col width="12" customWidth="1" min="2" max="2"/>
    <col width="34" customWidth="1" min="3" max="3"/>
    <col width="13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16" customWidth="1" min="18" max="18"/>
    <col width="28" customWidth="1" min="19" max="19"/>
  </cols>
  <sheetData>
    <row r="1">
      <c r="A1" s="1" t="inlineStr">
        <is>
          <t>ERGUNBAS GROUP — ÜRÜN BAZINDA HAFTA HAFTA ÇEKİLEN BOY &amp; ADET SAYILARI</t>
        </is>
      </c>
    </row>
    <row r="2">
      <c r="A2" s="2" t="inlineStr">
        <is>
          <t>Kapı setleme için gerekli boy adetlerinin 13 haftalık gerçekleşme sayıları ve ana kesim ölçüleri</t>
        </is>
      </c>
    </row>
    <row r="3"/>
    <row r="4">
      <c r="A4" s="3" t="inlineStr">
        <is>
          <t>Ürün Adı</t>
        </is>
      </c>
      <c r="B4" s="3" t="inlineStr">
        <is>
          <t>Kategori</t>
        </is>
      </c>
      <c r="C4" s="4" t="inlineStr">
        <is>
          <t>Ana Kesim Ölçüsü</t>
        </is>
      </c>
      <c r="D4" s="3" t="inlineStr">
        <is>
          <t>1 Boy (kg)</t>
        </is>
      </c>
      <c r="E4" s="3" t="inlineStr">
        <is>
          <t>W31 (27 Tem - 02 Ağu)</t>
        </is>
      </c>
      <c r="F4" s="3" t="inlineStr">
        <is>
          <t>W32 (03 Ağu - 09 Ağu)</t>
        </is>
      </c>
      <c r="G4" s="3" t="inlineStr">
        <is>
          <t>W33 (10 Ağu - 16 Ağu)</t>
        </is>
      </c>
      <c r="H4" s="3" t="inlineStr">
        <is>
          <t>W34 (17 Ağu - 23 Ağu)</t>
        </is>
      </c>
      <c r="I4" s="3" t="inlineStr">
        <is>
          <t>W35 (24 Ağu - 30 Ağu)</t>
        </is>
      </c>
      <c r="J4" s="3" t="inlineStr">
        <is>
          <t>W36 (31 Ağu - 06 Eyl)</t>
        </is>
      </c>
      <c r="K4" s="3" t="inlineStr">
        <is>
          <t>W37 (07 Eyl - 13 Eyl)</t>
        </is>
      </c>
      <c r="L4" s="3" t="inlineStr">
        <is>
          <t>W38 (14 Eyl - 20 Eyl)</t>
        </is>
      </c>
      <c r="M4" s="3" t="inlineStr">
        <is>
          <t>W39 (21 Eyl - 27 Eyl)</t>
        </is>
      </c>
      <c r="N4" s="3" t="inlineStr">
        <is>
          <t>W40 (28 Eyl - 04 Eki)</t>
        </is>
      </c>
      <c r="O4" s="3" t="inlineStr">
        <is>
          <t>W41 (05 Eki - 11 Eki)</t>
        </is>
      </c>
      <c r="P4" s="3" t="inlineStr">
        <is>
          <t>W42 (12 Eki - 18 Eki)</t>
        </is>
      </c>
      <c r="Q4" s="3" t="inlineStr">
        <is>
          <t>W43 (19 Eki - 25 Eki)</t>
        </is>
      </c>
      <c r="R4" s="4" t="inlineStr">
        <is>
          <t>Toplam Boy</t>
        </is>
      </c>
      <c r="S4" s="4" t="inlineStr">
        <is>
          <t>Haftalık Ort. Boy</t>
        </is>
      </c>
    </row>
    <row r="5">
      <c r="A5" s="5" t="inlineStr">
        <is>
          <t>SEREN</t>
        </is>
      </c>
      <c r="B5" s="6" t="inlineStr">
        <is>
          <t>Seren</t>
        </is>
      </c>
      <c r="C5" s="5" t="inlineStr">
        <is>
          <t>2.10 m (210 cm) (%92.6)</t>
        </is>
      </c>
      <c r="D5" s="9" t="n">
        <v>3.41</v>
      </c>
      <c r="E5" s="11" t="n">
        <v>2817</v>
      </c>
      <c r="F5" s="11" t="n">
        <v>8101</v>
      </c>
      <c r="G5" s="11" t="n">
        <v>9198</v>
      </c>
      <c r="H5" s="11" t="n">
        <v>8434</v>
      </c>
      <c r="I5" s="11" t="n">
        <v>9032</v>
      </c>
      <c r="J5" s="11" t="n">
        <v>6759</v>
      </c>
      <c r="K5" s="11" t="n">
        <v>8156</v>
      </c>
      <c r="L5" s="11" t="n">
        <v>8264</v>
      </c>
      <c r="M5" s="11" t="n">
        <v>7521</v>
      </c>
      <c r="N5" s="11" t="n">
        <v>6677</v>
      </c>
      <c r="O5" s="11" t="n">
        <v>6210</v>
      </c>
      <c r="P5" s="11" t="n">
        <v>5597</v>
      </c>
      <c r="Q5" s="11" t="n">
        <v>725</v>
      </c>
      <c r="R5" s="14">
        <f>SUM(E5:Q5)</f>
        <v/>
      </c>
      <c r="S5" s="14">
        <f>AVERAGEIF(E5:Q5, "&gt;0")</f>
        <v/>
      </c>
    </row>
    <row r="6">
      <c r="A6" s="16" t="inlineStr">
        <is>
          <t>50X80 PERVAZ</t>
        </is>
      </c>
      <c r="B6" s="17" t="inlineStr">
        <is>
          <t>Pervaz</t>
        </is>
      </c>
      <c r="C6" s="16" t="inlineStr">
        <is>
          <t>2.20 m (220 cm) (%81.1)</t>
        </is>
      </c>
      <c r="D6" s="18" t="n">
        <v>1.56</v>
      </c>
      <c r="E6" s="20" t="n">
        <v>4165</v>
      </c>
      <c r="F6" s="20" t="n">
        <v>8650</v>
      </c>
      <c r="G6" s="20" t="n">
        <v>12830</v>
      </c>
      <c r="H6" s="20" t="n">
        <v>9140</v>
      </c>
      <c r="I6" s="20" t="n">
        <v>9830</v>
      </c>
      <c r="J6" s="20" t="n">
        <v>11590</v>
      </c>
      <c r="K6" s="20" t="n">
        <v>10951</v>
      </c>
      <c r="L6" s="20" t="n">
        <v>9466</v>
      </c>
      <c r="M6" s="20" t="n">
        <v>11177</v>
      </c>
      <c r="N6" s="20" t="n">
        <v>11245</v>
      </c>
      <c r="O6" s="20" t="n">
        <v>8251</v>
      </c>
      <c r="P6" s="20" t="n">
        <v>10416</v>
      </c>
      <c r="Q6" s="20" t="n">
        <v>3115</v>
      </c>
      <c r="R6" s="14">
        <f>SUM(E6:Q6)</f>
        <v/>
      </c>
      <c r="S6" s="14">
        <f>AVERAGEIF(E6:Q6, "&gt;0")</f>
        <v/>
      </c>
    </row>
    <row r="7">
      <c r="A7" s="5" t="inlineStr">
        <is>
          <t>140 mm KASA</t>
        </is>
      </c>
      <c r="B7" s="6" t="inlineStr">
        <is>
          <t>Kasa</t>
        </is>
      </c>
      <c r="C7" s="5" t="inlineStr">
        <is>
          <t>2.15 m (215 cm) (%64.5)</t>
        </is>
      </c>
      <c r="D7" s="9" t="n">
        <v>4.98</v>
      </c>
      <c r="E7" s="11" t="n">
        <v>1347</v>
      </c>
      <c r="F7" s="11" t="n">
        <v>3134</v>
      </c>
      <c r="G7" s="11" t="n">
        <v>5382</v>
      </c>
      <c r="H7" s="11" t="n">
        <v>2949</v>
      </c>
      <c r="I7" s="11" t="n">
        <v>4367</v>
      </c>
      <c r="J7" s="11" t="n">
        <v>1864</v>
      </c>
      <c r="K7" s="11" t="n">
        <v>2572</v>
      </c>
      <c r="L7" s="11" t="n">
        <v>1911</v>
      </c>
      <c r="M7" s="11" t="n">
        <v>2102</v>
      </c>
      <c r="N7" s="11" t="n">
        <v>2165</v>
      </c>
      <c r="O7" s="11" t="n">
        <v>2992</v>
      </c>
      <c r="P7" s="11" t="n">
        <v>2953</v>
      </c>
      <c r="Q7" s="11" t="n">
        <v>1008</v>
      </c>
      <c r="R7" s="14">
        <f>SUM(E7:Q7)</f>
        <v/>
      </c>
      <c r="S7" s="14">
        <f>AVERAGEIF(E7:Q7, "&gt;0")</f>
        <v/>
      </c>
    </row>
    <row r="8">
      <c r="A8" s="16" t="inlineStr">
        <is>
          <t>100 mm KASA</t>
        </is>
      </c>
      <c r="B8" s="17" t="inlineStr">
        <is>
          <t>Kasa</t>
        </is>
      </c>
      <c r="C8" s="16" t="inlineStr">
        <is>
          <t>2.15 m (215 cm) (%96.0)</t>
        </is>
      </c>
      <c r="D8" s="18" t="n">
        <v>3.99</v>
      </c>
      <c r="E8" s="20" t="n">
        <v>1081</v>
      </c>
      <c r="F8" s="20" t="n">
        <v>2915</v>
      </c>
      <c r="G8" s="20" t="n">
        <v>2709</v>
      </c>
      <c r="H8" s="20" t="n">
        <v>2205</v>
      </c>
      <c r="I8" s="20" t="n">
        <v>1845</v>
      </c>
      <c r="J8" s="20" t="n">
        <v>2847</v>
      </c>
      <c r="K8" s="20" t="n">
        <v>3854</v>
      </c>
      <c r="L8" s="20" t="n">
        <v>3587</v>
      </c>
      <c r="M8" s="20" t="n">
        <v>5089</v>
      </c>
      <c r="N8" s="20" t="n">
        <v>3734</v>
      </c>
      <c r="O8" s="20" t="n">
        <v>1013</v>
      </c>
      <c r="P8" s="20" t="n">
        <v>1930</v>
      </c>
      <c r="Q8" s="20" t="n">
        <v>530</v>
      </c>
      <c r="R8" s="14">
        <f>SUM(E8:Q8)</f>
        <v/>
      </c>
      <c r="S8" s="14">
        <f>AVERAGEIF(E8:Q8, "&gt;0")</f>
        <v/>
      </c>
    </row>
    <row r="9">
      <c r="A9" s="5" t="inlineStr">
        <is>
          <t>DIŞBUDAK Levha</t>
        </is>
      </c>
      <c r="B9" s="6" t="inlineStr">
        <is>
          <t>Levha</t>
        </is>
      </c>
      <c r="C9" s="5" t="inlineStr">
        <is>
          <t>94x207 cm (0.94x2.07 m) (%71.6)</t>
        </is>
      </c>
      <c r="D9" s="9" t="n">
        <v>4.77</v>
      </c>
      <c r="E9" s="11" t="n">
        <v>225</v>
      </c>
      <c r="F9" s="11" t="n">
        <v>1445</v>
      </c>
      <c r="G9" s="11" t="n">
        <v>4083</v>
      </c>
      <c r="H9" s="11" t="n">
        <v>1560</v>
      </c>
      <c r="I9" s="11" t="n">
        <v>3680</v>
      </c>
      <c r="J9" s="11" t="n">
        <v>780</v>
      </c>
      <c r="K9" s="11" t="n">
        <v>1122</v>
      </c>
      <c r="L9" s="11" t="n">
        <v>1350</v>
      </c>
      <c r="M9" s="11" t="n">
        <v>2869</v>
      </c>
      <c r="N9" s="11" t="n">
        <v>2775</v>
      </c>
      <c r="O9" s="11" t="n">
        <v>2830</v>
      </c>
      <c r="P9" s="11" t="n">
        <v>1645</v>
      </c>
      <c r="Q9" s="11" t="n">
        <v>740</v>
      </c>
      <c r="R9" s="14">
        <f>SUM(E9:Q9)</f>
        <v/>
      </c>
      <c r="S9" s="14">
        <f>AVERAGEIF(E9:Q9, "&gt;0")</f>
        <v/>
      </c>
    </row>
    <row r="10">
      <c r="A10" s="16" t="inlineStr">
        <is>
          <t>200 mm KASA</t>
        </is>
      </c>
      <c r="B10" s="17" t="inlineStr">
        <is>
          <t>Kasa</t>
        </is>
      </c>
      <c r="C10" s="16" t="inlineStr">
        <is>
          <t>2.15 m (215 cm) (%68.0)</t>
        </is>
      </c>
      <c r="D10" s="18" t="n">
        <v>6.66</v>
      </c>
      <c r="E10" s="31" t="n">
        <v>0</v>
      </c>
      <c r="F10" s="31" t="n">
        <v>0</v>
      </c>
      <c r="G10" s="20" t="n">
        <v>48</v>
      </c>
      <c r="H10" s="20" t="n">
        <v>1413</v>
      </c>
      <c r="I10" s="20" t="n">
        <v>1628</v>
      </c>
      <c r="J10" s="20" t="n">
        <v>1626</v>
      </c>
      <c r="K10" s="20" t="n">
        <v>1948</v>
      </c>
      <c r="L10" s="20" t="n">
        <v>1786</v>
      </c>
      <c r="M10" s="20" t="n">
        <v>1865</v>
      </c>
      <c r="N10" s="20" t="n">
        <v>1867</v>
      </c>
      <c r="O10" s="20" t="n">
        <v>36</v>
      </c>
      <c r="P10" s="31" t="n">
        <v>0</v>
      </c>
      <c r="Q10" s="31" t="n">
        <v>0</v>
      </c>
      <c r="R10" s="14">
        <f>SUM(E10:Q10)</f>
        <v/>
      </c>
      <c r="S10" s="14">
        <f>AVERAGEIF(E10:Q10, "&gt;0")</f>
        <v/>
      </c>
    </row>
    <row r="11">
      <c r="A11" s="5" t="inlineStr">
        <is>
          <t>TEAK Levha</t>
        </is>
      </c>
      <c r="B11" s="6" t="inlineStr">
        <is>
          <t>Levha</t>
        </is>
      </c>
      <c r="C11" s="5" t="inlineStr">
        <is>
          <t>85x210 cm (0.85x2.10 m) (%20.9)</t>
        </is>
      </c>
      <c r="D11" s="9" t="n">
        <v>4.25</v>
      </c>
      <c r="E11" s="11" t="n">
        <v>835</v>
      </c>
      <c r="F11" s="11" t="n">
        <v>255</v>
      </c>
      <c r="G11" s="11" t="n">
        <v>1364</v>
      </c>
      <c r="H11" s="11" t="n">
        <v>1000</v>
      </c>
      <c r="I11" s="32" t="n">
        <v>0</v>
      </c>
      <c r="J11" s="32" t="n">
        <v>0</v>
      </c>
      <c r="K11" s="11" t="n">
        <v>1220</v>
      </c>
      <c r="L11" s="11" t="n">
        <v>2020</v>
      </c>
      <c r="M11" s="11" t="n">
        <v>470</v>
      </c>
      <c r="N11" s="11" t="n">
        <v>110</v>
      </c>
      <c r="O11" s="11" t="n">
        <v>1945</v>
      </c>
      <c r="P11" s="11" t="n">
        <v>140</v>
      </c>
      <c r="Q11" s="32" t="n">
        <v>0</v>
      </c>
      <c r="R11" s="14">
        <f>SUM(E11:Q11)</f>
        <v/>
      </c>
      <c r="S11" s="14">
        <f>AVERAGEIF(E11:Q11, "&gt;0")</f>
        <v/>
      </c>
    </row>
    <row r="12">
      <c r="A12" s="16" t="inlineStr">
        <is>
          <t>MIX TEAK Levha</t>
        </is>
      </c>
      <c r="B12" s="17" t="inlineStr">
        <is>
          <t>Levha</t>
        </is>
      </c>
      <c r="C12" s="16" t="inlineStr">
        <is>
          <t>85x210 cm (0.85x2.10 m) (%51.1)</t>
        </is>
      </c>
      <c r="D12" s="18" t="n">
        <v>4.37</v>
      </c>
      <c r="E12" s="31" t="n">
        <v>0</v>
      </c>
      <c r="F12" s="20" t="n">
        <v>300</v>
      </c>
      <c r="G12" s="20" t="n">
        <v>210</v>
      </c>
      <c r="H12" s="20" t="n">
        <v>1270</v>
      </c>
      <c r="I12" s="20" t="n">
        <v>2500</v>
      </c>
      <c r="J12" s="20" t="n">
        <v>1635</v>
      </c>
      <c r="K12" s="31" t="n">
        <v>0</v>
      </c>
      <c r="L12" s="31" t="n">
        <v>0</v>
      </c>
      <c r="M12" s="31" t="n">
        <v>0</v>
      </c>
      <c r="N12" s="31" t="n">
        <v>0</v>
      </c>
      <c r="O12" s="31" t="n">
        <v>0</v>
      </c>
      <c r="P12" s="20" t="n">
        <v>1290</v>
      </c>
      <c r="Q12" s="20" t="n">
        <v>330</v>
      </c>
      <c r="R12" s="14">
        <f>SUM(E12:Q12)</f>
        <v/>
      </c>
      <c r="S12" s="14">
        <f>AVERAGEIF(E12:Q12, "&gt;0")</f>
        <v/>
      </c>
    </row>
    <row r="13">
      <c r="A13" s="5" t="inlineStr">
        <is>
          <t>BEYAZ TEAK Levha</t>
        </is>
      </c>
      <c r="B13" s="6" t="inlineStr">
        <is>
          <t>Levha</t>
        </is>
      </c>
      <c r="C13" s="5" t="inlineStr">
        <is>
          <t>75x210 cm (0.75x2.10 m) (%26.0)</t>
        </is>
      </c>
      <c r="D13" s="9" t="n">
        <v>4.47</v>
      </c>
      <c r="E13" s="11" t="n">
        <v>950</v>
      </c>
      <c r="F13" s="11" t="n">
        <v>25</v>
      </c>
      <c r="G13" s="11" t="n">
        <v>692</v>
      </c>
      <c r="H13" s="11" t="n">
        <v>1107</v>
      </c>
      <c r="I13" s="11" t="n">
        <v>260</v>
      </c>
      <c r="J13" s="11" t="n">
        <v>22</v>
      </c>
      <c r="K13" s="32" t="n">
        <v>0</v>
      </c>
      <c r="L13" s="32" t="n">
        <v>0</v>
      </c>
      <c r="M13" s="11" t="n">
        <v>911</v>
      </c>
      <c r="N13" s="11" t="n">
        <v>880</v>
      </c>
      <c r="O13" s="11" t="n">
        <v>1320</v>
      </c>
      <c r="P13" s="11" t="n">
        <v>1103</v>
      </c>
      <c r="Q13" s="32" t="n">
        <v>0</v>
      </c>
      <c r="R13" s="14">
        <f>SUM(E13:Q13)</f>
        <v/>
      </c>
      <c r="S13" s="14">
        <f>AVERAGEIF(E13:Q13, "&gt;0")</f>
        <v/>
      </c>
    </row>
    <row r="14">
      <c r="A14" s="16" t="inlineStr">
        <is>
          <t>SEREN(39mm)</t>
        </is>
      </c>
      <c r="B14" s="17" t="inlineStr">
        <is>
          <t>Seren</t>
        </is>
      </c>
      <c r="C14" s="16" t="inlineStr">
        <is>
          <t>2.10 m (210 cm) (%100.0)</t>
        </is>
      </c>
      <c r="D14" s="18" t="n">
        <v>3.82</v>
      </c>
      <c r="E14" s="31" t="n">
        <v>0</v>
      </c>
      <c r="F14" s="31" t="n">
        <v>0</v>
      </c>
      <c r="G14" s="31" t="n">
        <v>0</v>
      </c>
      <c r="H14" s="31" t="n">
        <v>0</v>
      </c>
      <c r="I14" s="31" t="n">
        <v>0</v>
      </c>
      <c r="J14" s="31" t="n">
        <v>0</v>
      </c>
      <c r="K14" s="31" t="n">
        <v>0</v>
      </c>
      <c r="L14" s="31" t="n">
        <v>0</v>
      </c>
      <c r="M14" s="31" t="n">
        <v>0</v>
      </c>
      <c r="N14" s="31" t="n">
        <v>0</v>
      </c>
      <c r="O14" s="20" t="n">
        <v>2544</v>
      </c>
      <c r="P14" s="20" t="n">
        <v>4084</v>
      </c>
      <c r="Q14" s="20" t="n">
        <v>1310</v>
      </c>
      <c r="R14" s="14">
        <f>SUM(E14:Q14)</f>
        <v/>
      </c>
      <c r="S14" s="14">
        <f>AVERAGEIF(E14:Q14, "&gt;0")</f>
        <v/>
      </c>
    </row>
    <row r="15">
      <c r="A15" s="5" t="inlineStr">
        <is>
          <t>VIZON Levha</t>
        </is>
      </c>
      <c r="B15" s="6" t="inlineStr">
        <is>
          <t>Levha</t>
        </is>
      </c>
      <c r="C15" s="5" t="inlineStr">
        <is>
          <t>94x207 cm (0.94x2.07 m) (%60.7)</t>
        </is>
      </c>
      <c r="D15" s="9" t="n">
        <v>4.77</v>
      </c>
      <c r="E15" s="32" t="n">
        <v>0</v>
      </c>
      <c r="F15" s="11" t="n">
        <v>770</v>
      </c>
      <c r="G15" s="11" t="n">
        <v>120</v>
      </c>
      <c r="H15" s="32" t="n">
        <v>0</v>
      </c>
      <c r="I15" s="11" t="n">
        <v>215</v>
      </c>
      <c r="J15" s="11" t="n">
        <v>20</v>
      </c>
      <c r="K15" s="11" t="n">
        <v>282</v>
      </c>
      <c r="L15" s="11" t="n">
        <v>1165</v>
      </c>
      <c r="M15" s="11" t="n">
        <v>337</v>
      </c>
      <c r="N15" s="32" t="n">
        <v>0</v>
      </c>
      <c r="O15" s="11" t="n">
        <v>38</v>
      </c>
      <c r="P15" s="11" t="n">
        <v>903</v>
      </c>
      <c r="Q15" s="32" t="n">
        <v>0</v>
      </c>
      <c r="R15" s="14">
        <f>SUM(E15:Q15)</f>
        <v/>
      </c>
      <c r="S15" s="14">
        <f>AVERAGEIF(E15:Q15, "&gt;0")</f>
        <v/>
      </c>
    </row>
    <row r="16">
      <c r="A16" s="16" t="inlineStr">
        <is>
          <t>KT100-220x24-ANT</t>
        </is>
      </c>
      <c r="B16" s="17" t="inlineStr">
        <is>
          <t>Deck</t>
        </is>
      </c>
      <c r="C16" s="16" t="inlineStr">
        <is>
          <t>3.00 m (300 cm) (%70.4)</t>
        </is>
      </c>
      <c r="D16" s="18" t="n">
        <v>10.33</v>
      </c>
      <c r="E16" s="20" t="n">
        <v>212</v>
      </c>
      <c r="F16" s="20" t="n">
        <v>494</v>
      </c>
      <c r="G16" s="20" t="n">
        <v>1006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  <c r="N16" s="31" t="n">
        <v>0</v>
      </c>
      <c r="O16" s="31" t="n">
        <v>0</v>
      </c>
      <c r="P16" s="31" t="n">
        <v>0</v>
      </c>
      <c r="Q16" s="31" t="n">
        <v>0</v>
      </c>
      <c r="R16" s="14">
        <f>SUM(E16:Q16)</f>
        <v/>
      </c>
      <c r="S16" s="14">
        <f>AVERAGEIF(E16:Q16, "&gt;0")</f>
        <v/>
      </c>
    </row>
    <row r="17">
      <c r="A17" s="5" t="inlineStr">
        <is>
          <t>80X80 PERVAZ</t>
        </is>
      </c>
      <c r="B17" s="6" t="inlineStr">
        <is>
          <t>Pervaz</t>
        </is>
      </c>
      <c r="C17" s="5" t="inlineStr">
        <is>
          <t>2.24 m (224 cm) (%92.9)</t>
        </is>
      </c>
      <c r="D17" s="9" t="n">
        <v>2.2</v>
      </c>
      <c r="E17" s="11" t="n">
        <v>925</v>
      </c>
      <c r="F17" s="11" t="n">
        <v>1006</v>
      </c>
      <c r="G17" s="11" t="n">
        <v>2739</v>
      </c>
      <c r="H17" s="11" t="n">
        <v>1160</v>
      </c>
      <c r="I17" s="11" t="n">
        <v>690</v>
      </c>
      <c r="J17" s="32" t="n">
        <v>0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0</v>
      </c>
      <c r="R17" s="14">
        <f>SUM(E17:Q17)</f>
        <v/>
      </c>
      <c r="S17" s="14">
        <f>AVERAGEIF(E17:Q17, "&gt;0")</f>
        <v/>
      </c>
    </row>
    <row r="18">
      <c r="A18" s="16" t="inlineStr">
        <is>
          <t>35X100 PERVAZ</t>
        </is>
      </c>
      <c r="B18" s="17" t="inlineStr">
        <is>
          <t>Pervaz</t>
        </is>
      </c>
      <c r="C18" s="16" t="inlineStr">
        <is>
          <t>2.20 m (220 cm) (%94.8)</t>
        </is>
      </c>
      <c r="D18" s="18" t="n">
        <v>2.09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20" t="n">
        <v>1405</v>
      </c>
      <c r="N18" s="31" t="n">
        <v>0</v>
      </c>
      <c r="O18" s="20" t="n">
        <v>2325</v>
      </c>
      <c r="P18" s="20" t="n">
        <v>1265</v>
      </c>
      <c r="Q18" s="31" t="n">
        <v>0</v>
      </c>
      <c r="R18" s="14">
        <f>SUM(E18:Q18)</f>
        <v/>
      </c>
      <c r="S18" s="14">
        <f>AVERAGEIF(E18:Q18, "&gt;0")</f>
        <v/>
      </c>
    </row>
    <row r="19">
      <c r="A19" s="5" t="inlineStr">
        <is>
          <t>35X150 PERVAZ</t>
        </is>
      </c>
      <c r="B19" s="6" t="inlineStr">
        <is>
          <t>Pervaz</t>
        </is>
      </c>
      <c r="C19" s="5" t="inlineStr">
        <is>
          <t>2.20 m (220 cm) (%100.0)</t>
        </is>
      </c>
      <c r="D19" s="9" t="n">
        <v>2.97</v>
      </c>
      <c r="E19" s="32" t="n">
        <v>0</v>
      </c>
      <c r="F19" s="32" t="n">
        <v>0</v>
      </c>
      <c r="G19" s="32" t="n">
        <v>0</v>
      </c>
      <c r="H19" s="32" t="n">
        <v>0</v>
      </c>
      <c r="I19" s="32" t="n">
        <v>0</v>
      </c>
      <c r="J19" s="32" t="n">
        <v>0</v>
      </c>
      <c r="K19" s="11" t="n">
        <v>1625</v>
      </c>
      <c r="L19" s="11" t="n">
        <v>1580</v>
      </c>
      <c r="M19" s="32" t="n">
        <v>0</v>
      </c>
      <c r="N19" s="32" t="n">
        <v>0</v>
      </c>
      <c r="O19" s="32" t="n">
        <v>0</v>
      </c>
      <c r="P19" s="32" t="n">
        <v>0</v>
      </c>
      <c r="Q19" s="32" t="n">
        <v>0</v>
      </c>
      <c r="R19" s="14">
        <f>SUM(E19:Q19)</f>
        <v/>
      </c>
      <c r="S19" s="14">
        <f>AVERAGEIF(E19:Q19, "&gt;0")</f>
        <v/>
      </c>
    </row>
    <row r="20">
      <c r="A20" s="16" t="inlineStr">
        <is>
          <t>KT102-219x26-ANT</t>
        </is>
      </c>
      <c r="B20" s="17" t="inlineStr">
        <is>
          <t>Deck</t>
        </is>
      </c>
      <c r="C20" s="16" t="inlineStr">
        <is>
          <t>3.00 m (300 cm) (%81.1)</t>
        </is>
      </c>
      <c r="D20" s="18" t="n">
        <v>10.52</v>
      </c>
      <c r="E20" s="20" t="n">
        <v>155</v>
      </c>
      <c r="F20" s="20" t="n">
        <v>623</v>
      </c>
      <c r="G20" s="20" t="n">
        <v>117</v>
      </c>
      <c r="H20" s="31" t="n">
        <v>0</v>
      </c>
      <c r="I20" s="31" t="n">
        <v>0</v>
      </c>
      <c r="J20" s="31" t="n">
        <v>0</v>
      </c>
      <c r="K20" s="31" t="n">
        <v>0</v>
      </c>
      <c r="L20" s="31" t="n">
        <v>0</v>
      </c>
      <c r="M20" s="31" t="n">
        <v>0</v>
      </c>
      <c r="N20" s="31" t="n">
        <v>0</v>
      </c>
      <c r="O20" s="31" t="n">
        <v>0</v>
      </c>
      <c r="P20" s="31" t="n">
        <v>0</v>
      </c>
      <c r="Q20" s="31" t="n">
        <v>0</v>
      </c>
      <c r="R20" s="14">
        <f>SUM(E20:Q20)</f>
        <v/>
      </c>
      <c r="S20" s="14">
        <f>AVERAGEIF(E20:Q20, "&gt;0")</f>
        <v/>
      </c>
    </row>
    <row r="21">
      <c r="A21" s="5" t="inlineStr">
        <is>
          <t>MIX BEYAZ TEAK Levha</t>
        </is>
      </c>
      <c r="B21" s="6" t="inlineStr">
        <is>
          <t>Levha</t>
        </is>
      </c>
      <c r="C21" s="5" t="inlineStr">
        <is>
          <t>75x210 cm (0.75x2.10 m) (%45.1)</t>
        </is>
      </c>
      <c r="D21" s="9" t="n">
        <v>4.19</v>
      </c>
      <c r="E21" s="32" t="n">
        <v>0</v>
      </c>
      <c r="F21" s="32" t="n">
        <v>0</v>
      </c>
      <c r="G21" s="11" t="n">
        <v>90</v>
      </c>
      <c r="H21" s="32" t="n">
        <v>0</v>
      </c>
      <c r="I21" s="11" t="n">
        <v>72</v>
      </c>
      <c r="J21" s="32" t="n">
        <v>0</v>
      </c>
      <c r="K21" s="32" t="n">
        <v>0</v>
      </c>
      <c r="L21" s="32" t="n">
        <v>0</v>
      </c>
      <c r="M21" s="11" t="n">
        <v>15</v>
      </c>
      <c r="N21" s="11" t="n">
        <v>1050</v>
      </c>
      <c r="O21" s="32" t="n">
        <v>0</v>
      </c>
      <c r="P21" s="11" t="n">
        <v>920</v>
      </c>
      <c r="Q21" s="32" t="n">
        <v>0</v>
      </c>
      <c r="R21" s="14">
        <f>SUM(E21:Q21)</f>
        <v/>
      </c>
      <c r="S21" s="14">
        <f>AVERAGEIF(E21:Q21, "&gt;0")</f>
        <v/>
      </c>
    </row>
    <row r="22">
      <c r="A22" s="16" t="inlineStr">
        <is>
          <t>CAM ÇITASI</t>
        </is>
      </c>
      <c r="B22" s="17" t="inlineStr">
        <is>
          <t>Çıta</t>
        </is>
      </c>
      <c r="C22" s="16" t="inlineStr">
        <is>
          <t>2.20 m (220 cm) (%100.0)</t>
        </is>
      </c>
      <c r="D22" s="18" t="n">
        <v>1.5</v>
      </c>
      <c r="E22" s="31" t="n">
        <v>0</v>
      </c>
      <c r="F22" s="31" t="n">
        <v>0</v>
      </c>
      <c r="G22" s="31" t="n">
        <v>0</v>
      </c>
      <c r="H22" s="31" t="n">
        <v>0</v>
      </c>
      <c r="I22" s="31" t="n">
        <v>0</v>
      </c>
      <c r="J22" s="20" t="n">
        <v>2827</v>
      </c>
      <c r="K22" s="20" t="n">
        <v>2360</v>
      </c>
      <c r="L22" s="31" t="n">
        <v>0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14">
        <f>SUM(E22:Q22)</f>
        <v/>
      </c>
      <c r="S22" s="14">
        <f>AVERAGEIF(E22:Q22, "&gt;0")</f>
        <v/>
      </c>
    </row>
    <row r="23">
      <c r="A23" s="5" t="inlineStr">
        <is>
          <t>SONOMO Levha</t>
        </is>
      </c>
      <c r="B23" s="6" t="inlineStr">
        <is>
          <t>Levha</t>
        </is>
      </c>
      <c r="C23" s="5" t="inlineStr">
        <is>
          <t>85x210 cm (0.85x2.10 m) (%60.5)</t>
        </is>
      </c>
      <c r="D23" s="9" t="n">
        <v>4.37</v>
      </c>
      <c r="E23" s="32" t="n">
        <v>0</v>
      </c>
      <c r="F23" s="11" t="n">
        <v>26</v>
      </c>
      <c r="G23" s="11" t="n">
        <v>200</v>
      </c>
      <c r="H23" s="11" t="n">
        <v>43</v>
      </c>
      <c r="I23" s="32" t="n">
        <v>0</v>
      </c>
      <c r="J23" s="32" t="n">
        <v>0</v>
      </c>
      <c r="K23" s="11" t="n">
        <v>200</v>
      </c>
      <c r="L23" s="32" t="n">
        <v>0</v>
      </c>
      <c r="M23" s="11" t="n">
        <v>102</v>
      </c>
      <c r="N23" s="11" t="n">
        <v>20</v>
      </c>
      <c r="O23" s="11" t="n">
        <v>1030</v>
      </c>
      <c r="P23" s="11" t="n">
        <v>130</v>
      </c>
      <c r="Q23" s="11" t="n">
        <v>25</v>
      </c>
      <c r="R23" s="14">
        <f>SUM(E23:Q23)</f>
        <v/>
      </c>
      <c r="S23" s="14">
        <f>AVERAGEIF(E23:Q23, "&gt;0")</f>
        <v/>
      </c>
    </row>
    <row r="24">
      <c r="A24" s="16" t="inlineStr">
        <is>
          <t>AY GRİ Levha</t>
        </is>
      </c>
      <c r="B24" s="17" t="inlineStr">
        <is>
          <t>Levha</t>
        </is>
      </c>
      <c r="C24" s="16" t="inlineStr">
        <is>
          <t>94x207 cm (0.94x2.07 m) (%29.3)</t>
        </is>
      </c>
      <c r="D24" s="18" t="n">
        <v>4.64</v>
      </c>
      <c r="E24" s="31" t="n">
        <v>0</v>
      </c>
      <c r="F24" s="31" t="n">
        <v>0</v>
      </c>
      <c r="G24" s="31" t="n">
        <v>0</v>
      </c>
      <c r="H24" s="31" t="n">
        <v>0</v>
      </c>
      <c r="I24" s="31" t="n">
        <v>0</v>
      </c>
      <c r="J24" s="31" t="n">
        <v>0</v>
      </c>
      <c r="K24" s="20" t="n">
        <v>742</v>
      </c>
      <c r="L24" s="20" t="n">
        <v>175</v>
      </c>
      <c r="M24" s="20" t="n">
        <v>250</v>
      </c>
      <c r="N24" s="20" t="n">
        <v>130</v>
      </c>
      <c r="O24" s="31" t="n">
        <v>0</v>
      </c>
      <c r="P24" s="31" t="n">
        <v>0</v>
      </c>
      <c r="Q24" s="31" t="n">
        <v>0</v>
      </c>
      <c r="R24" s="14">
        <f>SUM(E24:Q24)</f>
        <v/>
      </c>
      <c r="S24" s="14">
        <f>AVERAGEIF(E24:Q24, "&gt;0")</f>
        <v/>
      </c>
    </row>
    <row r="25">
      <c r="A25" s="5" t="inlineStr">
        <is>
          <t>ANTRASİT Levha</t>
        </is>
      </c>
      <c r="B25" s="6" t="inlineStr">
        <is>
          <t>Levha</t>
        </is>
      </c>
      <c r="C25" s="5" t="inlineStr">
        <is>
          <t>94x207 cm (0.94x2.07 m) (%96.6)</t>
        </is>
      </c>
      <c r="D25" s="9" t="n">
        <v>4.77</v>
      </c>
      <c r="E25" s="32" t="n">
        <v>0</v>
      </c>
      <c r="F25" s="32" t="n">
        <v>0</v>
      </c>
      <c r="G25" s="32" t="n">
        <v>0</v>
      </c>
      <c r="H25" s="11" t="n">
        <v>495</v>
      </c>
      <c r="I25" s="11" t="n">
        <v>377</v>
      </c>
      <c r="J25" s="11" t="n">
        <v>260</v>
      </c>
      <c r="K25" s="32" t="n">
        <v>0</v>
      </c>
      <c r="L25" s="32" t="n">
        <v>0</v>
      </c>
      <c r="M25" s="32" t="n">
        <v>0</v>
      </c>
      <c r="N25" s="32" t="n">
        <v>0</v>
      </c>
      <c r="O25" s="11" t="n">
        <v>40</v>
      </c>
      <c r="P25" s="32" t="n">
        <v>0</v>
      </c>
      <c r="Q25" s="11" t="n">
        <v>4</v>
      </c>
      <c r="R25" s="14">
        <f>SUM(E25:Q25)</f>
        <v/>
      </c>
      <c r="S25" s="14">
        <f>AVERAGEIF(E25:Q25, "&gt;0")</f>
        <v/>
      </c>
    </row>
    <row r="26">
      <c r="A26" s="16" t="inlineStr">
        <is>
          <t>KOYU CEVİZ Levha</t>
        </is>
      </c>
      <c r="B26" s="17" t="inlineStr">
        <is>
          <t>Levha</t>
        </is>
      </c>
      <c r="C26" s="16" t="inlineStr">
        <is>
          <t>93x210 cm (0.93x2.10 m) (%54.8)</t>
        </is>
      </c>
      <c r="D26" s="18" t="n">
        <v>4.79</v>
      </c>
      <c r="E26" s="31" t="n">
        <v>0</v>
      </c>
      <c r="F26" s="20" t="n">
        <v>452</v>
      </c>
      <c r="G26" s="20" t="n">
        <v>170</v>
      </c>
      <c r="H26" s="20" t="n">
        <v>105</v>
      </c>
      <c r="I26" s="31" t="n">
        <v>0</v>
      </c>
      <c r="J26" s="20" t="n">
        <v>66</v>
      </c>
      <c r="K26" s="31" t="n">
        <v>0</v>
      </c>
      <c r="L26" s="31" t="n">
        <v>0</v>
      </c>
      <c r="M26" s="31" t="n">
        <v>0</v>
      </c>
      <c r="N26" s="20" t="n">
        <v>10</v>
      </c>
      <c r="O26" s="31" t="n">
        <v>0</v>
      </c>
      <c r="P26" s="31" t="n">
        <v>0</v>
      </c>
      <c r="Q26" s="31" t="n">
        <v>0</v>
      </c>
      <c r="R26" s="14">
        <f>SUM(E26:Q26)</f>
        <v/>
      </c>
      <c r="S26" s="14">
        <f>AVERAGEIF(E26:Q26, "&gt;0")</f>
        <v/>
      </c>
    </row>
    <row r="27">
      <c r="A27" s="5" t="inlineStr">
        <is>
          <t>COCO Levha</t>
        </is>
      </c>
      <c r="B27" s="6" t="inlineStr">
        <is>
          <t>Levha</t>
        </is>
      </c>
      <c r="C27" s="5" t="inlineStr">
        <is>
          <t>94x208 cm (0.94x2.08 m) (%88.4)</t>
        </is>
      </c>
      <c r="D27" s="9" t="n">
        <v>4.79</v>
      </c>
      <c r="E27" s="32" t="n">
        <v>0</v>
      </c>
      <c r="F27" s="32" t="n">
        <v>0</v>
      </c>
      <c r="G27" s="32" t="n">
        <v>0</v>
      </c>
      <c r="H27" s="11" t="n">
        <v>530</v>
      </c>
      <c r="I27" s="32" t="n">
        <v>0</v>
      </c>
      <c r="J27" s="32" t="n">
        <v>0</v>
      </c>
      <c r="K27" s="32" t="n">
        <v>0</v>
      </c>
      <c r="L27" s="32" t="n">
        <v>0</v>
      </c>
      <c r="M27" s="11" t="n">
        <v>60</v>
      </c>
      <c r="N27" s="11" t="n">
        <v>10</v>
      </c>
      <c r="O27" s="32" t="n">
        <v>0</v>
      </c>
      <c r="P27" s="32" t="n">
        <v>0</v>
      </c>
      <c r="Q27" s="32" t="n">
        <v>0</v>
      </c>
      <c r="R27" s="14">
        <f>SUM(E27:Q27)</f>
        <v/>
      </c>
      <c r="S27" s="14">
        <f>AVERAGEIF(E27:Q27, "&gt;0")</f>
        <v/>
      </c>
    </row>
    <row r="28">
      <c r="A28" s="16" t="inlineStr">
        <is>
          <t>U KAPAMA</t>
        </is>
      </c>
      <c r="B28" s="17" t="inlineStr">
        <is>
          <t>Profil</t>
        </is>
      </c>
      <c r="C28" s="16" t="inlineStr">
        <is>
          <t>2.30 m (230 cm) (%86.8)</t>
        </is>
      </c>
      <c r="D28" s="18" t="n">
        <v>0.48</v>
      </c>
      <c r="E28" s="31" t="n">
        <v>0</v>
      </c>
      <c r="F28" s="31" t="n">
        <v>0</v>
      </c>
      <c r="G28" s="31" t="n">
        <v>0</v>
      </c>
      <c r="H28" s="31" t="n">
        <v>0</v>
      </c>
      <c r="I28" s="20" t="n">
        <v>821</v>
      </c>
      <c r="J28" s="20" t="n">
        <v>2080</v>
      </c>
      <c r="K28" s="31" t="n">
        <v>0</v>
      </c>
      <c r="L28" s="31" t="n">
        <v>0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14">
        <f>SUM(E28:Q28)</f>
        <v/>
      </c>
      <c r="S28" s="14">
        <f>AVERAGEIF(E28:Q28, "&gt;0")</f>
        <v/>
      </c>
    </row>
    <row r="29">
      <c r="A29" s="5" t="inlineStr">
        <is>
          <t>35X80 PERVAZ</t>
        </is>
      </c>
      <c r="B29" s="6" t="inlineStr">
        <is>
          <t>Pervaz</t>
        </is>
      </c>
      <c r="C29" s="5" t="inlineStr">
        <is>
          <t>2.20 m (220 cm) (%100.0)</t>
        </is>
      </c>
      <c r="D29" s="9" t="n">
        <v>2.94</v>
      </c>
      <c r="E29" s="32" t="n">
        <v>0</v>
      </c>
      <c r="F29" s="32" t="n">
        <v>0</v>
      </c>
      <c r="G29" s="32" t="n">
        <v>0</v>
      </c>
      <c r="H29" s="32" t="n">
        <v>0</v>
      </c>
      <c r="I29" s="32" t="n">
        <v>0</v>
      </c>
      <c r="J29" s="32" t="n">
        <v>0</v>
      </c>
      <c r="K29" s="32" t="n">
        <v>0</v>
      </c>
      <c r="L29" s="11" t="n">
        <v>180</v>
      </c>
      <c r="M29" s="32" t="n">
        <v>0</v>
      </c>
      <c r="N29" s="32" t="n">
        <v>0</v>
      </c>
      <c r="O29" s="32" t="n">
        <v>0</v>
      </c>
      <c r="P29" s="32" t="n">
        <v>0</v>
      </c>
      <c r="Q29" s="32" t="n">
        <v>0</v>
      </c>
      <c r="R29" s="14">
        <f>SUM(E29:Q29)</f>
        <v/>
      </c>
      <c r="S29" s="14">
        <f>AVERAGEIF(E29:Q29, "&gt;0")</f>
        <v/>
      </c>
    </row>
    <row r="30">
      <c r="A30" s="16" t="inlineStr">
        <is>
          <t>KT102-219x26-KAH</t>
        </is>
      </c>
      <c r="B30" s="17" t="inlineStr">
        <is>
          <t>Deck</t>
        </is>
      </c>
      <c r="C30" s="16" t="inlineStr">
        <is>
          <t>3.00 m (300 cm) (%100.0)</t>
        </is>
      </c>
      <c r="D30" s="18" t="n">
        <v>9.26</v>
      </c>
      <c r="E30" s="31" t="n">
        <v>0</v>
      </c>
      <c r="F30" s="31" t="n">
        <v>0</v>
      </c>
      <c r="G30" s="20" t="n">
        <v>50</v>
      </c>
      <c r="H30" s="31" t="n">
        <v>0</v>
      </c>
      <c r="I30" s="31" t="n">
        <v>0</v>
      </c>
      <c r="J30" s="31" t="n">
        <v>0</v>
      </c>
      <c r="K30" s="31" t="n">
        <v>0</v>
      </c>
      <c r="L30" s="31" t="n">
        <v>0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14">
        <f>SUM(E30:Q30)</f>
        <v/>
      </c>
      <c r="S30" s="14">
        <f>AVERAGEIF(E30:Q30, "&gt;0")</f>
        <v/>
      </c>
    </row>
    <row r="31">
      <c r="A31" s="26" t="inlineStr">
        <is>
          <t>HAFTALIK TOPLAM ÇEKİLEN BOY / ADET</t>
        </is>
      </c>
      <c r="B31" s="26" t="n"/>
      <c r="C31" s="26" t="n"/>
      <c r="D31" s="26" t="n"/>
      <c r="E31" s="34">
        <f>SUM(E5:E30)</f>
        <v/>
      </c>
      <c r="F31" s="34">
        <f>SUM(F5:F30)</f>
        <v/>
      </c>
      <c r="G31" s="34">
        <f>SUM(G5:G30)</f>
        <v/>
      </c>
      <c r="H31" s="34">
        <f>SUM(H5:H30)</f>
        <v/>
      </c>
      <c r="I31" s="34">
        <f>SUM(I5:I30)</f>
        <v/>
      </c>
      <c r="J31" s="34">
        <f>SUM(J5:J30)</f>
        <v/>
      </c>
      <c r="K31" s="34">
        <f>SUM(K5:K30)</f>
        <v/>
      </c>
      <c r="L31" s="34">
        <f>SUM(L5:L30)</f>
        <v/>
      </c>
      <c r="M31" s="34">
        <f>SUM(M5:M30)</f>
        <v/>
      </c>
      <c r="N31" s="34">
        <f>SUM(N5:N30)</f>
        <v/>
      </c>
      <c r="O31" s="34">
        <f>SUM(O5:O30)</f>
        <v/>
      </c>
      <c r="P31" s="34">
        <f>SUM(P5:P30)</f>
        <v/>
      </c>
      <c r="Q31" s="34">
        <f>SUM(Q5:Q30)</f>
        <v/>
      </c>
      <c r="R31" s="34">
        <f>SUM(R5:R30)</f>
        <v/>
      </c>
      <c r="S31" s="34">
        <f>SUM(S5:S30)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7" customWidth="1" min="1" max="1"/>
    <col width="45" customWidth="1" min="2" max="2"/>
    <col width="49" customWidth="1" min="3" max="3"/>
    <col width="24" customWidth="1" min="4" max="4"/>
    <col width="21" customWidth="1" min="5" max="5"/>
    <col width="24" customWidth="1" min="6" max="6"/>
    <col width="28" customWidth="1" min="7" max="7"/>
    <col width="16" customWidth="1" min="8" max="8"/>
    <col width="19" customWidth="1" min="9" max="9"/>
    <col width="20" customWidth="1" min="10" max="10"/>
    <col width="24" customWidth="1" min="11" max="11"/>
  </cols>
  <sheetData>
    <row r="1">
      <c r="A1" s="1" t="inlineStr">
        <is>
          <t>ERGUNBAS GROUP — 10 ÜRETİM HATTININ HAFTALIK FİİLİ KAPASİTE VE YÜK ANALİZİ</t>
        </is>
      </c>
    </row>
    <row r="2">
      <c r="A2" s="2" t="inlineStr">
        <is>
          <t>Hat 101 - 109 ve Hat 201'in 13 haftalık gerçekleşen saatlik hızları, haftalık tonaj ve boy kapasiteleri</t>
        </is>
      </c>
    </row>
    <row r="3"/>
    <row r="4">
      <c r="A4" s="3" t="inlineStr">
        <is>
          <t>Hat No</t>
        </is>
      </c>
      <c r="B4" s="3" t="inlineStr">
        <is>
          <t>Hat Fonksiyonu &amp; Kalıp Tipi</t>
        </is>
      </c>
      <c r="C4" s="3" t="inlineStr">
        <is>
          <t>Çektiği Ana Ürünler</t>
        </is>
      </c>
      <c r="D4" s="3" t="inlineStr">
        <is>
          <t>Toplam Çalışma (Saat)</t>
        </is>
      </c>
      <c r="E4" s="4" t="inlineStr">
        <is>
          <t>Haftalık Ort. Saat</t>
        </is>
      </c>
      <c r="F4" s="4" t="inlineStr">
        <is>
          <t>Haftalık Ort. Vardiya</t>
        </is>
      </c>
      <c r="G4" s="3" t="inlineStr">
        <is>
          <t>Fiili Saatlik Hız (kg/sa)</t>
        </is>
      </c>
      <c r="H4" s="3" t="inlineStr">
        <is>
          <t>Toplam Net KG</t>
        </is>
      </c>
      <c r="I4" s="4" t="inlineStr">
        <is>
          <t>Haftalık Ort. KG</t>
        </is>
      </c>
      <c r="J4" s="4" t="inlineStr">
        <is>
          <t>Haftalık Ort. Boy</t>
        </is>
      </c>
      <c r="K4" s="3" t="inlineStr">
        <is>
          <t>Ort. Fire Oranı (%)</t>
        </is>
      </c>
    </row>
    <row r="5">
      <c r="A5" s="5" t="inlineStr">
        <is>
          <t>Hat 101</t>
        </is>
      </c>
      <c r="B5" s="6" t="inlineStr">
        <is>
          <t>Pervaz &amp; Profil Hattı (Tek Göz)</t>
        </is>
      </c>
      <c r="C5" s="6" t="inlineStr">
        <is>
          <t>35X80 PERVAZ, 80X80 PERVAZ, 35X100 PERVAZ</t>
        </is>
      </c>
      <c r="D5" s="35" t="n">
        <v>758.5</v>
      </c>
      <c r="E5" s="35" t="n">
        <v>84.3</v>
      </c>
      <c r="F5" s="36" t="n">
        <v>7</v>
      </c>
      <c r="G5" s="37" t="n">
        <v>44.6</v>
      </c>
      <c r="H5" s="10" t="n">
        <v>33805</v>
      </c>
      <c r="I5" s="13" t="n">
        <v>3756.1</v>
      </c>
      <c r="J5" s="14" t="n">
        <v>1579</v>
      </c>
      <c r="K5" s="15" t="n">
        <v>0.1662897439704289</v>
      </c>
    </row>
    <row r="6">
      <c r="A6" s="16" t="inlineStr">
        <is>
          <t>Hat 102</t>
        </is>
      </c>
      <c r="B6" s="17" t="inlineStr">
        <is>
          <t>Kasa &amp; Çıta &amp; U Kapama (Tek Göz)</t>
        </is>
      </c>
      <c r="C6" s="17" t="inlineStr">
        <is>
          <t>CAM ÇITASI, U KAPAMA, 100 mm KASA</t>
        </is>
      </c>
      <c r="D6" s="38" t="n">
        <v>1576.1</v>
      </c>
      <c r="E6" s="38" t="n">
        <v>121.2</v>
      </c>
      <c r="F6" s="39" t="n">
        <v>10.1</v>
      </c>
      <c r="G6" s="40" t="n">
        <v>60.5</v>
      </c>
      <c r="H6" s="19" t="n">
        <v>95369</v>
      </c>
      <c r="I6" s="13" t="n">
        <v>7336.1</v>
      </c>
      <c r="J6" s="14" t="n">
        <v>2162</v>
      </c>
      <c r="K6" s="22" t="n">
        <v>0.3133977326984782</v>
      </c>
    </row>
    <row r="7">
      <c r="A7" s="5" t="inlineStr">
        <is>
          <t>Hat 103</t>
        </is>
      </c>
      <c r="B7" s="6" t="inlineStr">
        <is>
          <t>Pervaz Hattı (Çift Göz)</t>
        </is>
      </c>
      <c r="C7" s="6" t="inlineStr">
        <is>
          <t>SEREN, 50X80 PERVAZ</t>
        </is>
      </c>
      <c r="D7" s="35" t="n">
        <v>1433</v>
      </c>
      <c r="E7" s="35" t="n">
        <v>110.2</v>
      </c>
      <c r="F7" s="36" t="n">
        <v>9.199999999999999</v>
      </c>
      <c r="G7" s="37" t="n">
        <v>52.7</v>
      </c>
      <c r="H7" s="10" t="n">
        <v>75496</v>
      </c>
      <c r="I7" s="13" t="n">
        <v>5807.4</v>
      </c>
      <c r="J7" s="14" t="n">
        <v>3505</v>
      </c>
      <c r="K7" s="15" t="n">
        <v>0.2618137327324927</v>
      </c>
    </row>
    <row r="8">
      <c r="A8" s="16" t="inlineStr">
        <is>
          <t>Hat 104</t>
        </is>
      </c>
      <c r="B8" s="17" t="inlineStr">
        <is>
          <t>Seren Hattı (Çift Göz Yüksek Hızlı)</t>
        </is>
      </c>
      <c r="C8" s="17" t="inlineStr">
        <is>
          <t>SEREN</t>
        </is>
      </c>
      <c r="D8" s="38" t="n">
        <v>1624.4</v>
      </c>
      <c r="E8" s="38" t="n">
        <v>125</v>
      </c>
      <c r="F8" s="39" t="n">
        <v>10.4</v>
      </c>
      <c r="G8" s="40" t="n">
        <v>96.7</v>
      </c>
      <c r="H8" s="19" t="n">
        <v>157051.3</v>
      </c>
      <c r="I8" s="13" t="n">
        <v>12080.9</v>
      </c>
      <c r="J8" s="14" t="n">
        <v>3542</v>
      </c>
      <c r="K8" s="22" t="n">
        <v>0.244493798743691</v>
      </c>
    </row>
    <row r="9">
      <c r="A9" s="5" t="inlineStr">
        <is>
          <t>Hat 105</t>
        </is>
      </c>
      <c r="B9" s="6" t="inlineStr">
        <is>
          <t>Seren Hattı (Çift Göz)</t>
        </is>
      </c>
      <c r="C9" s="6" t="inlineStr">
        <is>
          <t>SEREN, 140 mm KASA</t>
        </is>
      </c>
      <c r="D9" s="35" t="n">
        <v>1514.5</v>
      </c>
      <c r="E9" s="35" t="n">
        <v>126.2</v>
      </c>
      <c r="F9" s="36" t="n">
        <v>10.5</v>
      </c>
      <c r="G9" s="37" t="n">
        <v>90.8</v>
      </c>
      <c r="H9" s="10" t="n">
        <v>137521.5</v>
      </c>
      <c r="I9" s="13" t="n">
        <v>11460.1</v>
      </c>
      <c r="J9" s="14" t="n">
        <v>3362</v>
      </c>
      <c r="K9" s="15" t="n">
        <v>0.2898881399884438</v>
      </c>
    </row>
    <row r="10">
      <c r="A10" s="16" t="inlineStr">
        <is>
          <t>Hat 106</t>
        </is>
      </c>
      <c r="B10" s="17" t="inlineStr">
        <is>
          <t>140 Kasa Ana Hattı (Tek Göz)</t>
        </is>
      </c>
      <c r="C10" s="17" t="inlineStr">
        <is>
          <t>200 mm KASA, 100 mm KASA, 140 mm KASA</t>
        </is>
      </c>
      <c r="D10" s="38" t="n">
        <v>1621.3</v>
      </c>
      <c r="E10" s="38" t="n">
        <v>124.7</v>
      </c>
      <c r="F10" s="39" t="n">
        <v>10.4</v>
      </c>
      <c r="G10" s="40" t="n">
        <v>72.5</v>
      </c>
      <c r="H10" s="19" t="n">
        <v>117509</v>
      </c>
      <c r="I10" s="13" t="n">
        <v>9039.200000000001</v>
      </c>
      <c r="J10" s="14" t="n">
        <v>1770</v>
      </c>
      <c r="K10" s="22" t="n">
        <v>0.2749095017528876</v>
      </c>
    </row>
    <row r="11">
      <c r="A11" s="5" t="inlineStr">
        <is>
          <t>Hat 107</t>
        </is>
      </c>
      <c r="B11" s="6" t="inlineStr">
        <is>
          <t>200 Kasa &amp; 39mm Seren &amp; Deck (Tek Göz)</t>
        </is>
      </c>
      <c r="C11" s="6" t="inlineStr">
        <is>
          <t>KT100-220x24-ANT, SEREN, SEREN(39mm)</t>
        </is>
      </c>
      <c r="D11" s="35" t="n">
        <v>1572.7</v>
      </c>
      <c r="E11" s="35" t="n">
        <v>121</v>
      </c>
      <c r="F11" s="36" t="n">
        <v>10.1</v>
      </c>
      <c r="G11" s="37" t="n">
        <v>89.59999999999999</v>
      </c>
      <c r="H11" s="10" t="n">
        <v>140925</v>
      </c>
      <c r="I11" s="13" t="n">
        <v>10840.4</v>
      </c>
      <c r="J11" s="14" t="n">
        <v>1787</v>
      </c>
      <c r="K11" s="15" t="n">
        <v>0.2813496399098914</v>
      </c>
    </row>
    <row r="12">
      <c r="A12" s="16" t="inlineStr">
        <is>
          <t>Hat 108</t>
        </is>
      </c>
      <c r="B12" s="17" t="inlineStr">
        <is>
          <t>100 &amp; 140 Kasa Hattı (Tek Göz)</t>
        </is>
      </c>
      <c r="C12" s="17" t="inlineStr">
        <is>
          <t>200 mm KASA, 100 mm KASA, 140 mm KASA</t>
        </is>
      </c>
      <c r="D12" s="38" t="n">
        <v>1554.2</v>
      </c>
      <c r="E12" s="38" t="n">
        <v>119.6</v>
      </c>
      <c r="F12" s="39" t="n">
        <v>10</v>
      </c>
      <c r="G12" s="40" t="n">
        <v>66.40000000000001</v>
      </c>
      <c r="H12" s="19" t="n">
        <v>103140.8</v>
      </c>
      <c r="I12" s="13" t="n">
        <v>7933.9</v>
      </c>
      <c r="J12" s="14" t="n">
        <v>1946</v>
      </c>
      <c r="K12" s="22" t="n">
        <v>0.2963623292477549</v>
      </c>
    </row>
    <row r="13">
      <c r="A13" s="5" t="inlineStr">
        <is>
          <t>Hat 109</t>
        </is>
      </c>
      <c r="B13" s="6" t="inlineStr">
        <is>
          <t>50x80 &amp; 80x80 Pervaz Çift Göz (Yüksek Hız)</t>
        </is>
      </c>
      <c r="C13" s="6" t="inlineStr">
        <is>
          <t>80X80 PERVAZ, 50X80 PERVAZ</t>
        </is>
      </c>
      <c r="D13" s="35" t="n">
        <v>1550.2</v>
      </c>
      <c r="E13" s="35" t="n">
        <v>119.2</v>
      </c>
      <c r="F13" s="36" t="n">
        <v>9.9</v>
      </c>
      <c r="G13" s="37" t="n">
        <v>73.8</v>
      </c>
      <c r="H13" s="10" t="n">
        <v>114358.3</v>
      </c>
      <c r="I13" s="13" t="n">
        <v>8796.799999999999</v>
      </c>
      <c r="J13" s="14" t="n">
        <v>5877</v>
      </c>
      <c r="K13" s="15" t="n">
        <v>0.3063225605301045</v>
      </c>
    </row>
    <row r="14">
      <c r="A14" s="16" t="inlineStr">
        <is>
          <t>Hat 201</t>
        </is>
      </c>
      <c r="B14" s="17" t="inlineStr">
        <is>
          <t>WPC Levha Ekstrüder Makinesi</t>
        </is>
      </c>
      <c r="C14" s="17" t="inlineStr">
        <is>
          <t>COCO Levha, BEYAZ TEAK Levha, KOYU CEVİZ Levha</t>
        </is>
      </c>
      <c r="D14" s="38" t="n">
        <v>1078.5</v>
      </c>
      <c r="E14" s="38" t="n">
        <v>83</v>
      </c>
      <c r="F14" s="39" t="n">
        <v>6.9</v>
      </c>
      <c r="G14" s="40" t="n">
        <v>258.1</v>
      </c>
      <c r="H14" s="19" t="n">
        <v>278369.1</v>
      </c>
      <c r="I14" s="13" t="n">
        <v>21413</v>
      </c>
      <c r="J14" s="14" t="n">
        <v>4686</v>
      </c>
      <c r="K14" s="22" t="n">
        <v>0.1729102966048453</v>
      </c>
    </row>
    <row r="15">
      <c r="A15" s="26" t="inlineStr">
        <is>
          <t>TOPLAM FABRİKA KAPASİTESİ (10 HAT)</t>
        </is>
      </c>
      <c r="B15" s="26" t="n"/>
      <c r="C15" s="26" t="n"/>
      <c r="D15" s="41">
        <f>SUM(D5:D14)</f>
        <v/>
      </c>
      <c r="E15" s="41">
        <f>SUM(E5:E14)</f>
        <v/>
      </c>
      <c r="F15" s="42">
        <f>SUM(F5:F14)</f>
        <v/>
      </c>
      <c r="G15" s="43">
        <f>AVERAGE(G5:G14)</f>
        <v/>
      </c>
      <c r="H15" s="27">
        <f>SUM(H5:H14)</f>
        <v/>
      </c>
      <c r="I15" s="27">
        <f>SUM(I5:I14)</f>
        <v/>
      </c>
      <c r="J15" s="28">
        <f>SUM(J5:J14)</f>
        <v/>
      </c>
      <c r="K15" s="26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2026-10-22T09:04:15Z</dcterms:created>
  <dcterms:modified xsi:type="dcterms:W3CDTF">2026-10-22T09:04:16Z</dcterms:modified>
</cp:coreProperties>
</file>