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rün Rotaları &amp; Kapasite" sheetId="1" state="visible" r:id="rId1"/>
    <sheet name="Hat &amp; Makine Çalışma Özeti" sheetId="2" state="visible" r:id="rId2"/>
    <sheet name="Ürün x Hat Fiili Üretim" sheetId="3" state="visible" r:id="rId3"/>
    <sheet name="Tek Göz vs Çift Göz Analizi" sheetId="4" state="visible" r:id="rId4"/>
  </sheets>
  <definedNames>
    <definedName name="_xlnm._FilterDatabase" localSheetId="0" hidden="1">'Ürün Rotaları &amp; Kapasite'!$A$4:$X$30</definedName>
    <definedName name="_xlnm._FilterDatabase" localSheetId="1" hidden="1">'Hat &amp; Makine Çalışma Özeti'!$A$3:$K$13</definedName>
    <definedName name="_xlnm._FilterDatabase" localSheetId="2" hidden="1">'Ürün x Hat Fiili Üretim'!$A$3:$O$43</definedName>
    <definedName name="_xlnm._FilterDatabase" localSheetId="3" hidden="1">'Tek Göz vs Çift Göz Analizi'!$A$3:$M$47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0 &quot;kg&quot;"/>
    <numFmt numFmtId="165" formatCode="#,##0.0"/>
    <numFmt numFmtId="166" formatCode="#,##0 &quot; Boy/sa&quot;"/>
    <numFmt numFmtId="167" formatCode="0.0%"/>
    <numFmt numFmtId="168" formatCode="#,##0 &quot; Plaka/sa&quot;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E2E8F0"/>
      <sz val="9.5"/>
    </font>
    <font>
      <name val="Segoe UI"/>
      <b val="1"/>
      <color rgb="00FFFFFF"/>
      <sz val="10"/>
    </font>
    <font>
      <name val="Segoe UI"/>
      <b val="1"/>
      <color rgb="000F172A"/>
      <sz val="9.5"/>
    </font>
    <font>
      <name val="Segoe UI"/>
      <color rgb="001E293B"/>
      <sz val="9.5"/>
    </font>
    <font>
      <name val="Segoe UI"/>
      <b val="1"/>
      <color rgb="000F766E"/>
      <sz val="9.5"/>
    </font>
    <font>
      <name val="Segoe UI"/>
      <b val="1"/>
      <color rgb="000369A1"/>
      <sz val="9.5"/>
    </font>
    <font>
      <name val="Segoe UI"/>
      <b val="1"/>
      <color rgb="000284C7"/>
      <sz val="9.5"/>
    </font>
    <font>
      <name val="Segoe UI"/>
      <b val="1"/>
      <color rgb="00047857"/>
      <sz val="9.5"/>
    </font>
    <font>
      <name val="Segoe UI"/>
      <b val="1"/>
      <color rgb="00B45309"/>
      <sz val="9.5"/>
    </font>
    <font>
      <name val="Segoe UI"/>
      <color rgb="0064748B"/>
      <sz val="9"/>
    </font>
  </fonts>
  <fills count="10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334155"/>
        <bgColor rgb="00334155"/>
      </patternFill>
    </fill>
    <fill>
      <patternFill patternType="solid">
        <fgColor rgb="001E3A8A"/>
        <bgColor rgb="001E3A8A"/>
      </patternFill>
    </fill>
    <fill>
      <patternFill patternType="solid">
        <fgColor rgb="000F766E"/>
        <bgColor rgb="000F766E"/>
      </patternFill>
    </fill>
    <fill>
      <patternFill patternType="solid">
        <fgColor rgb="00ECFDF5"/>
        <bgColor rgb="00ECFDF5"/>
      </patternFill>
    </fill>
    <fill>
      <patternFill patternType="solid">
        <fgColor rgb="00F0F9FF"/>
        <bgColor rgb="00F0F9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7" fontId="9" fillId="0" borderId="1" applyAlignment="1" pivotButton="0" quotePrefix="0" xfId="0">
      <alignment horizontal="right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5" fillId="8" borderId="1" applyAlignment="1" pivotButton="0" quotePrefix="0" xfId="0">
      <alignment horizontal="left" vertical="center"/>
    </xf>
    <xf numFmtId="164" fontId="5" fillId="8" borderId="1" applyAlignment="1" pivotButton="0" quotePrefix="0" xfId="0">
      <alignment horizontal="right" vertical="center"/>
    </xf>
    <xf numFmtId="3" fontId="4" fillId="8" borderId="1" applyAlignment="1" pivotButton="0" quotePrefix="0" xfId="0">
      <alignment horizontal="right" vertical="center"/>
    </xf>
    <xf numFmtId="0" fontId="7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right" vertical="center"/>
    </xf>
    <xf numFmtId="3" fontId="5" fillId="8" borderId="1" applyAlignment="1" pivotButton="0" quotePrefix="0" xfId="0">
      <alignment horizontal="right" vertical="center"/>
    </xf>
    <xf numFmtId="165" fontId="9" fillId="8" borderId="1" applyAlignment="1" pivotButton="0" quotePrefix="0" xfId="0">
      <alignment horizontal="right" vertical="center"/>
    </xf>
    <xf numFmtId="166" fontId="9" fillId="8" borderId="1" applyAlignment="1" pivotButton="0" quotePrefix="0" xfId="0">
      <alignment horizontal="right" vertical="center"/>
    </xf>
    <xf numFmtId="166" fontId="5" fillId="8" borderId="1" applyAlignment="1" pivotButton="0" quotePrefix="0" xfId="0">
      <alignment horizontal="right" vertical="center"/>
    </xf>
    <xf numFmtId="167" fontId="9" fillId="8" borderId="1" applyAlignment="1" pivotButton="0" quotePrefix="0" xfId="0">
      <alignment horizontal="right" vertical="center"/>
    </xf>
    <xf numFmtId="0" fontId="10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right" vertical="center"/>
    </xf>
    <xf numFmtId="0" fontId="11" fillId="8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168" fontId="9" fillId="0" borderId="1" applyAlignment="1" pivotButton="0" quotePrefix="0" xfId="0">
      <alignment horizontal="right" vertical="center"/>
    </xf>
    <xf numFmtId="168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0" fontId="5" fillId="8" borderId="1" applyAlignment="1" pivotButton="0" quotePrefix="0" xfId="0">
      <alignment horizontal="right" vertical="center"/>
    </xf>
    <xf numFmtId="168" fontId="9" fillId="8" borderId="1" applyAlignment="1" pivotButton="0" quotePrefix="0" xfId="0">
      <alignment horizontal="right" vertical="center"/>
    </xf>
    <xf numFmtId="168" fontId="5" fillId="8" borderId="1" applyAlignment="1" pivotButton="0" quotePrefix="0" xfId="0">
      <alignment horizontal="right" vertical="center"/>
    </xf>
    <xf numFmtId="167" fontId="10" fillId="8" borderId="1" applyAlignment="1" pivotButton="0" quotePrefix="0" xfId="0">
      <alignment horizontal="right" vertical="center"/>
    </xf>
    <xf numFmtId="167" fontId="10" fillId="0" borderId="1" applyAlignment="1" pivotButton="0" quotePrefix="0" xfId="0">
      <alignment horizontal="right" vertical="center"/>
    </xf>
    <xf numFmtId="0" fontId="4" fillId="9" borderId="2" applyAlignment="1" pivotButton="0" quotePrefix="0" xfId="0">
      <alignment horizontal="left" vertical="center"/>
    </xf>
    <xf numFmtId="0" fontId="0" fillId="9" borderId="2" pivotButton="0" quotePrefix="0" xfId="0"/>
    <xf numFmtId="3" fontId="4" fillId="9" borderId="2" pivotButton="0" quotePrefix="0" xfId="0"/>
    <xf numFmtId="165" fontId="4" fillId="9" borderId="2" pivotButton="0" quotePrefix="0" xfId="0"/>
    <xf numFmtId="0" fontId="4" fillId="8" borderId="1" applyAlignment="1" pivotButton="0" quotePrefix="0" xfId="0">
      <alignment horizontal="center" vertical="center"/>
    </xf>
    <xf numFmtId="3" fontId="5" fillId="8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center" vertical="center"/>
    </xf>
    <xf numFmtId="0" fontId="4" fillId="9" borderId="2" pivotButton="0" quotePrefix="0" xfId="0"/>
    <xf numFmtId="167" fontId="5" fillId="8" borderId="1" applyAlignment="1" pivotButton="0" quotePrefix="0" xfId="0">
      <alignment horizontal="right" vertical="center"/>
    </xf>
    <xf numFmtId="167" fontId="5" fillId="0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4" fillId="7" borderId="1" applyAlignment="1" pivotButton="0" quotePrefix="0" xfId="0">
      <alignment horizontal="right" vertical="center"/>
    </xf>
    <xf numFmtId="3" fontId="5" fillId="7" borderId="1" applyAlignment="1" pivotButton="0" quotePrefix="0" xfId="0">
      <alignment horizontal="right" vertical="center"/>
    </xf>
    <xf numFmtId="3" fontId="4" fillId="7" borderId="1" applyAlignment="1" pivotButton="0" quotePrefix="0" xfId="0">
      <alignment horizontal="right" vertical="center"/>
    </xf>
    <xf numFmtId="165" fontId="9" fillId="7" borderId="1" applyAlignment="1" pivotButton="0" quotePrefix="0" xfId="0">
      <alignment horizontal="right" vertical="center"/>
    </xf>
    <xf numFmtId="166" fontId="9" fillId="7" borderId="1" applyAlignment="1" pivotButton="0" quotePrefix="0" xfId="0">
      <alignment horizontal="right" vertical="center"/>
    </xf>
    <xf numFmtId="167" fontId="9" fillId="7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1"/>
  <sheetViews>
    <sheetView showGridLines="1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24" customWidth="1" min="1" max="1"/>
    <col width="16" customWidth="1" min="2" max="2"/>
    <col width="22" customWidth="1" min="3" max="3"/>
    <col width="18" customWidth="1" min="4" max="4"/>
    <col width="14" customWidth="1" min="5" max="5"/>
    <col width="15" customWidth="1" min="6" max="6"/>
    <col width="14" customWidth="1" min="7" max="7"/>
    <col width="18" customWidth="1" min="8" max="8"/>
    <col width="15" customWidth="1" min="9" max="9"/>
    <col width="13" customWidth="1" min="10" max="10"/>
    <col width="14" customWidth="1" min="11" max="11"/>
    <col width="24" customWidth="1" min="12" max="12"/>
    <col width="18" customWidth="1" min="13" max="13"/>
    <col width="16" customWidth="1" min="14" max="14"/>
    <col width="24" customWidth="1" min="15" max="15"/>
    <col width="15" customWidth="1" min="16" max="16"/>
    <col width="15" customWidth="1" min="17" max="17"/>
    <col width="18" customWidth="1" min="18" max="18"/>
    <col width="14" customWidth="1" min="19" max="19"/>
    <col width="16" customWidth="1" min="20" max="20"/>
    <col width="24" customWidth="1" min="21" max="21"/>
    <col width="16" customWidth="1" min="22" max="22"/>
    <col width="14" customWidth="1" min="23" max="23"/>
    <col width="28" customWidth="1" min="24" max="24"/>
  </cols>
  <sheetData>
    <row r="1" ht="36" customHeight="1">
      <c r="A1" s="1" t="inlineStr">
        <is>
          <t>ERGUNBAS GROUP — ÜRÜN MAKİNE ROTALARI, BOY/KESİM ÖLÇÜLERİ VE KAPASİTE MATRİSİ</t>
        </is>
      </c>
    </row>
    <row r="2" ht="20" customHeight="1">
      <c r="A2" s="2" t="inlineStr">
        <is>
          <t>Standart Boy Ölçüleri (2.20m Pervaz, 2.10m Seren, 207cm Levha) | Kalıp Çıkışları (Tek Göz / Çift Göz) | Saatteki Boy Hızları | Rota Kapasiteleri</t>
        </is>
      </c>
    </row>
    <row r="3" ht="24" customHeight="1">
      <c r="A3" s="3" t="inlineStr">
        <is>
          <t>ÜRÜN &amp; BOY - KESİM ÖLÇÜLERİ</t>
        </is>
      </c>
      <c r="G3" s="4" t="inlineStr">
        <is>
          <t>ANA ROTA (BİRİNCİL MAKİNE)</t>
        </is>
      </c>
      <c r="Q3" s="5" t="inlineStr">
        <is>
          <t>YEDEK ROTA 1 (İKİNCİL MAKİNE)</t>
        </is>
      </c>
      <c r="W3" s="3" t="inlineStr">
        <is>
          <t>YEDEK ROTA 2</t>
        </is>
      </c>
      <c r="X3" s="3" t="inlineStr">
        <is>
          <t>STRATEJİ</t>
        </is>
      </c>
    </row>
    <row r="4" ht="28" customHeight="1">
      <c r="A4" s="6" t="inlineStr">
        <is>
          <t>Ürün Kodu &amp; Adı</t>
        </is>
      </c>
      <c r="B4" s="6" t="inlineStr">
        <is>
          <t>Kategori</t>
        </is>
      </c>
      <c r="C4" s="6" t="inlineStr">
        <is>
          <t>Standart Boy (Uzunluk)</t>
        </is>
      </c>
      <c r="D4" s="6" t="inlineStr">
        <is>
          <t>Kesit Ölçüsü</t>
        </is>
      </c>
      <c r="E4" s="6" t="inlineStr">
        <is>
          <t>Birim Ağırlık</t>
        </is>
      </c>
      <c r="F4" s="6" t="inlineStr">
        <is>
          <t>70G Toplam KG</t>
        </is>
      </c>
      <c r="G4" s="6" t="inlineStr">
        <is>
          <t>Ana Rota Hat</t>
        </is>
      </c>
      <c r="H4" s="6" t="inlineStr">
        <is>
          <t>Kalıp Çıkışı (Göz)</t>
        </is>
      </c>
      <c r="I4" s="6" t="inlineStr">
        <is>
          <t>Fiili Çalışma (Saat)</t>
        </is>
      </c>
      <c r="J4" s="6" t="inlineStr">
        <is>
          <t>Vardiya Sayısı</t>
        </is>
      </c>
      <c r="K4" s="6" t="inlineStr">
        <is>
          <t>Fiili Hız (kg/sa)</t>
        </is>
      </c>
      <c r="L4" s="6" t="inlineStr">
        <is>
          <t>Fiili Hız (Saatte ~X Boy/Plaka)</t>
        </is>
      </c>
      <c r="M4" s="6" t="inlineStr">
        <is>
          <t>24s Fiili Kapasite (kg/gün)</t>
        </is>
      </c>
      <c r="N4" s="6" t="inlineStr">
        <is>
          <t>Standart Kapasite (kg/sa)</t>
        </is>
      </c>
      <c r="O4" s="6" t="inlineStr">
        <is>
          <t>Standart Hız (Saatte ~X Boy/Plaka)</t>
        </is>
      </c>
      <c r="P4" s="6" t="inlineStr">
        <is>
          <t>Kapasite Gerçekleşme (%)</t>
        </is>
      </c>
      <c r="Q4" s="6" t="inlineStr">
        <is>
          <t>Yedek Rota 1 Hat</t>
        </is>
      </c>
      <c r="R4" s="6" t="inlineStr">
        <is>
          <t>Yedek 1 Kalıp Çıkışı</t>
        </is>
      </c>
      <c r="S4" s="6" t="inlineStr">
        <is>
          <t>Yedek 1 Fiili Saat</t>
        </is>
      </c>
      <c r="T4" s="6" t="inlineStr">
        <is>
          <t>Yedek 1 Fiili Hız (kg/sa)</t>
        </is>
      </c>
      <c r="U4" s="6" t="inlineStr">
        <is>
          <t>Yedek 1 Hız (Saatte ~X Boy)</t>
        </is>
      </c>
      <c r="V4" s="6" t="inlineStr">
        <is>
          <t>Yedek 1 Standart Hız (kg/sa)</t>
        </is>
      </c>
      <c r="W4" s="6" t="inlineStr">
        <is>
          <t>Yedek Rota 2 Hat</t>
        </is>
      </c>
      <c r="X4" s="6" t="inlineStr">
        <is>
          <t>Planlama &amp; Rota Durumu</t>
        </is>
      </c>
    </row>
    <row r="5" ht="20" customHeight="1">
      <c r="A5" s="7" t="inlineStr">
        <is>
          <t>SEREN</t>
        </is>
      </c>
      <c r="B5" s="8" t="inlineStr">
        <is>
          <t>Seren Çıtası</t>
        </is>
      </c>
      <c r="C5" s="9" t="inlineStr">
        <is>
          <t>2.10 Metre</t>
        </is>
      </c>
      <c r="D5" s="8" t="inlineStr">
        <is>
          <t>38 x 45 mm</t>
        </is>
      </c>
      <c r="E5" s="10" t="n">
        <v>3.39</v>
      </c>
      <c r="F5" s="11" t="n">
        <v>303801.79</v>
      </c>
      <c r="G5" s="12" t="inlineStr">
        <is>
          <t>Hat 104</t>
        </is>
      </c>
      <c r="H5" s="13" t="inlineStr">
        <is>
          <t>Çift Göz (2 Kafa)</t>
        </is>
      </c>
      <c r="I5" s="14" t="n">
        <v>1670.4</v>
      </c>
      <c r="J5" s="15" t="n">
        <v>150</v>
      </c>
      <c r="K5" s="16" t="n">
        <v>96.3</v>
      </c>
      <c r="L5" s="17" t="n">
        <v>28</v>
      </c>
      <c r="M5" s="11" t="n">
        <v>2311.2</v>
      </c>
      <c r="N5" s="14" t="n">
        <v>99.2</v>
      </c>
      <c r="O5" s="18" t="n">
        <v>29</v>
      </c>
      <c r="P5" s="19" t="n">
        <v>0.971</v>
      </c>
      <c r="Q5" s="20" t="inlineStr">
        <is>
          <t>Hat 105</t>
        </is>
      </c>
      <c r="R5" s="21" t="inlineStr">
        <is>
          <t>Çift Göz (2 Kafa)</t>
        </is>
      </c>
      <c r="S5" s="22" t="n">
        <v>1524.5</v>
      </c>
      <c r="T5" s="22" t="n">
        <v>91</v>
      </c>
      <c r="U5" s="18" t="n">
        <v>27</v>
      </c>
      <c r="V5" s="22" t="n">
        <v>92.2</v>
      </c>
      <c r="W5" s="23" t="inlineStr">
        <is>
          <t>Hat 107</t>
        </is>
      </c>
      <c r="X5" s="8" t="inlineStr">
        <is>
          <t>Aktif Çift Hatlı Üretim (Yüksek Hacimli)</t>
        </is>
      </c>
    </row>
    <row r="6" ht="20" customHeight="1">
      <c r="A6" s="24" t="inlineStr">
        <is>
          <t>50X80 PERVAZ</t>
        </is>
      </c>
      <c r="B6" s="25" t="inlineStr">
        <is>
          <t>Pervaz Profili</t>
        </is>
      </c>
      <c r="C6" s="9" t="inlineStr">
        <is>
          <t>2.20 Metre</t>
        </is>
      </c>
      <c r="D6" s="25" t="inlineStr">
        <is>
          <t>50 x 80 mm</t>
        </is>
      </c>
      <c r="E6" s="26" t="n">
        <v>1.55</v>
      </c>
      <c r="F6" s="27" t="n">
        <v>192461.31</v>
      </c>
      <c r="G6" s="28" t="inlineStr">
        <is>
          <t>Hat 109</t>
        </is>
      </c>
      <c r="H6" s="13" t="inlineStr">
        <is>
          <t>Çift Göz (2 Kafa)</t>
        </is>
      </c>
      <c r="I6" s="29" t="n">
        <v>1586.2</v>
      </c>
      <c r="J6" s="30" t="n">
        <v>154</v>
      </c>
      <c r="K6" s="31" t="n">
        <v>73</v>
      </c>
      <c r="L6" s="32" t="n">
        <v>47</v>
      </c>
      <c r="M6" s="27" t="n">
        <v>1752</v>
      </c>
      <c r="N6" s="29" t="n">
        <v>73.59999999999999</v>
      </c>
      <c r="O6" s="33" t="n">
        <v>48</v>
      </c>
      <c r="P6" s="34" t="n">
        <v>0.992</v>
      </c>
      <c r="Q6" s="35" t="inlineStr">
        <is>
          <t>Hat 103</t>
        </is>
      </c>
      <c r="R6" s="36" t="inlineStr">
        <is>
          <t>Çift Göz (2 Kafa)</t>
        </is>
      </c>
      <c r="S6" s="37" t="n">
        <v>1469</v>
      </c>
      <c r="T6" s="37" t="n">
        <v>52.1</v>
      </c>
      <c r="U6" s="33" t="n">
        <v>34</v>
      </c>
      <c r="V6" s="37" t="n">
        <v>53.1</v>
      </c>
      <c r="W6" s="38" t="inlineStr">
        <is>
          <t>Hat 101</t>
        </is>
      </c>
      <c r="X6" s="25" t="inlineStr">
        <is>
          <t>Aktif Çift Hatlı Üretim (Yüksek Hacimli)</t>
        </is>
      </c>
    </row>
    <row r="7" ht="20" customHeight="1">
      <c r="A7" s="7" t="inlineStr">
        <is>
          <t>140 mm KASA</t>
        </is>
      </c>
      <c r="B7" s="8" t="inlineStr">
        <is>
          <t>Kasa Profili</t>
        </is>
      </c>
      <c r="C7" s="9" t="inlineStr">
        <is>
          <t>2.15 Metre (215 cm)</t>
        </is>
      </c>
      <c r="D7" s="8" t="inlineStr">
        <is>
          <t>140 x 36 mm</t>
        </is>
      </c>
      <c r="E7" s="10" t="n">
        <v>4.95</v>
      </c>
      <c r="F7" s="11" t="n">
        <v>177376</v>
      </c>
      <c r="G7" s="12" t="inlineStr">
        <is>
          <t>Hat 106</t>
        </is>
      </c>
      <c r="H7" s="39" t="inlineStr">
        <is>
          <t>Tek Göz (1 Kafa)</t>
        </is>
      </c>
      <c r="I7" s="14" t="n">
        <v>1633.3</v>
      </c>
      <c r="J7" s="15" t="n">
        <v>146</v>
      </c>
      <c r="K7" s="16" t="n">
        <v>71.5</v>
      </c>
      <c r="L7" s="17" t="n">
        <v>14</v>
      </c>
      <c r="M7" s="11" t="n">
        <v>1716</v>
      </c>
      <c r="N7" s="14" t="n">
        <v>74.09999999999999</v>
      </c>
      <c r="O7" s="18" t="n">
        <v>15</v>
      </c>
      <c r="P7" s="19" t="n">
        <v>0.965</v>
      </c>
      <c r="Q7" s="20" t="inlineStr">
        <is>
          <t>Hat 108</t>
        </is>
      </c>
      <c r="R7" s="39" t="inlineStr">
        <is>
          <t>Tek Göz (1 Kafa)</t>
        </is>
      </c>
      <c r="S7" s="22" t="n">
        <v>590.2</v>
      </c>
      <c r="T7" s="22" t="n">
        <v>64.90000000000001</v>
      </c>
      <c r="U7" s="18" t="n">
        <v>13</v>
      </c>
      <c r="V7" s="22" t="n">
        <v>64.90000000000001</v>
      </c>
      <c r="W7" s="23" t="inlineStr">
        <is>
          <t>Hat 102</t>
        </is>
      </c>
      <c r="X7" s="8" t="inlineStr">
        <is>
          <t>Aktif Çift Hatlı Üretim (Yüksek Hacimli)</t>
        </is>
      </c>
    </row>
    <row r="8" ht="20" customHeight="1">
      <c r="A8" s="24" t="inlineStr">
        <is>
          <t>100 mm KASA</t>
        </is>
      </c>
      <c r="B8" s="25" t="inlineStr">
        <is>
          <t>Kasa Profili</t>
        </is>
      </c>
      <c r="C8" s="9" t="inlineStr">
        <is>
          <t>2.15 Metre (215 cm)</t>
        </is>
      </c>
      <c r="D8" s="25" t="inlineStr">
        <is>
          <t>100 x 36 mm</t>
        </is>
      </c>
      <c r="E8" s="26" t="n">
        <v>4</v>
      </c>
      <c r="F8" s="27" t="n">
        <v>135602.8</v>
      </c>
      <c r="G8" s="28" t="inlineStr">
        <is>
          <t>Hat 102</t>
        </is>
      </c>
      <c r="H8" s="40" t="inlineStr">
        <is>
          <t>Tek Göz (1 Kafa)</t>
        </is>
      </c>
      <c r="I8" s="29" t="n">
        <v>1074.1</v>
      </c>
      <c r="J8" s="30" t="n">
        <v>95</v>
      </c>
      <c r="K8" s="31" t="n">
        <v>63.3</v>
      </c>
      <c r="L8" s="32" t="n">
        <v>16</v>
      </c>
      <c r="M8" s="27" t="n">
        <v>1519.2</v>
      </c>
      <c r="N8" s="29" t="n">
        <v>63.3</v>
      </c>
      <c r="O8" s="33" t="n">
        <v>16</v>
      </c>
      <c r="P8" s="34" t="n">
        <v>1</v>
      </c>
      <c r="Q8" s="35" t="inlineStr">
        <is>
          <t>Hat 108</t>
        </is>
      </c>
      <c r="R8" s="40" t="inlineStr">
        <is>
          <t>Tek Göz (1 Kafa)</t>
        </is>
      </c>
      <c r="S8" s="37" t="n">
        <v>983</v>
      </c>
      <c r="T8" s="37" t="n">
        <v>66.8</v>
      </c>
      <c r="U8" s="33" t="n">
        <v>17</v>
      </c>
      <c r="V8" s="37" t="n">
        <v>69.5</v>
      </c>
      <c r="W8" s="38" t="inlineStr">
        <is>
          <t>Hat 107</t>
        </is>
      </c>
      <c r="X8" s="25" t="inlineStr">
        <is>
          <t>Aktif Çift Hatlı Üretim (Yüksek Hacimli)</t>
        </is>
      </c>
    </row>
    <row r="9" ht="20" customHeight="1">
      <c r="A9" s="7" t="inlineStr">
        <is>
          <t>DİŞBUDAK Levha</t>
        </is>
      </c>
      <c r="B9" s="8" t="inlineStr">
        <is>
          <t>WPC Levha Plaka</t>
        </is>
      </c>
      <c r="C9" s="9" t="inlineStr">
        <is>
          <t>207 cm (2.07 m)</t>
        </is>
      </c>
      <c r="D9" s="8" t="inlineStr">
        <is>
          <t>En: 94 cm (2 mm)</t>
        </is>
      </c>
      <c r="E9" s="10" t="n">
        <v>4.77</v>
      </c>
      <c r="F9" s="11" t="n">
        <v>125422.38</v>
      </c>
      <c r="G9" s="12" t="inlineStr">
        <is>
          <t>Hat 201</t>
        </is>
      </c>
      <c r="H9" s="39" t="inlineStr">
        <is>
          <t>Tek Göz (1 Kafa)</t>
        </is>
      </c>
      <c r="I9" s="14" t="n">
        <v>632.6096835790281</v>
      </c>
      <c r="J9" s="15" t="n">
        <v>85</v>
      </c>
      <c r="K9" s="16" t="n">
        <v>206.1</v>
      </c>
      <c r="L9" s="41" t="n">
        <v>43</v>
      </c>
      <c r="M9" s="11" t="n">
        <v>4946.4</v>
      </c>
      <c r="N9" s="14" t="n">
        <v>190</v>
      </c>
      <c r="O9" s="42" t="n">
        <v>40</v>
      </c>
      <c r="P9" s="19" t="n">
        <v>1.085</v>
      </c>
      <c r="Q9" s="23" t="inlineStr">
        <is>
          <t>—</t>
        </is>
      </c>
      <c r="R9" s="39" t="inlineStr">
        <is>
          <t>—</t>
        </is>
      </c>
      <c r="S9" s="43" t="inlineStr">
        <is>
          <t>—</t>
        </is>
      </c>
      <c r="T9" s="43" t="inlineStr">
        <is>
          <t>—</t>
        </is>
      </c>
      <c r="U9" s="39" t="inlineStr">
        <is>
          <t>—</t>
        </is>
      </c>
      <c r="V9" s="43" t="inlineStr">
        <is>
          <t>—</t>
        </is>
      </c>
      <c r="W9" s="23" t="inlineStr">
        <is>
          <t>—</t>
        </is>
      </c>
      <c r="X9" s="8" t="inlineStr">
        <is>
          <t>Levha Özel Hattı (Hat 201)</t>
        </is>
      </c>
    </row>
    <row r="10" ht="20" customHeight="1">
      <c r="A10" s="24" t="inlineStr">
        <is>
          <t>200 mm KASA</t>
        </is>
      </c>
      <c r="B10" s="25" t="inlineStr">
        <is>
          <t>Kasa Profili</t>
        </is>
      </c>
      <c r="C10" s="9" t="inlineStr">
        <is>
          <t>2.15 Metre (215 cm)</t>
        </is>
      </c>
      <c r="D10" s="25" t="inlineStr">
        <is>
          <t>200 x 36 mm</t>
        </is>
      </c>
      <c r="E10" s="26" t="n">
        <v>6.66</v>
      </c>
      <c r="F10" s="27" t="n">
        <v>81332</v>
      </c>
      <c r="G10" s="28" t="inlineStr">
        <is>
          <t>Hat 107</t>
        </is>
      </c>
      <c r="H10" s="40" t="inlineStr">
        <is>
          <t>Tek Göz (1 Kafa)</t>
        </is>
      </c>
      <c r="I10" s="29" t="n">
        <v>910</v>
      </c>
      <c r="J10" s="30" t="n">
        <v>86</v>
      </c>
      <c r="K10" s="31" t="n">
        <v>84.59999999999999</v>
      </c>
      <c r="L10" s="32" t="n">
        <v>13</v>
      </c>
      <c r="M10" s="27" t="n">
        <v>2030.4</v>
      </c>
      <c r="N10" s="29" t="n">
        <v>84.59999999999999</v>
      </c>
      <c r="O10" s="33" t="n">
        <v>13</v>
      </c>
      <c r="P10" s="34" t="n">
        <v>1</v>
      </c>
      <c r="Q10" s="35" t="inlineStr">
        <is>
          <t>Hat 106</t>
        </is>
      </c>
      <c r="R10" s="40" t="inlineStr">
        <is>
          <t>Tek Göz (1 Kafa)</t>
        </is>
      </c>
      <c r="S10" s="37" t="n">
        <v>24</v>
      </c>
      <c r="T10" s="37" t="n">
        <v>100.9</v>
      </c>
      <c r="U10" s="33" t="n">
        <v>15</v>
      </c>
      <c r="V10" s="37" t="n">
        <v>100.9</v>
      </c>
      <c r="W10" s="38" t="inlineStr">
        <is>
          <t>Hat 108</t>
        </is>
      </c>
      <c r="X10" s="25" t="inlineStr">
        <is>
          <t>Aktif Çift Hatlı Üretim (Yüksek Hacimli)</t>
        </is>
      </c>
    </row>
    <row r="11" ht="20" customHeight="1">
      <c r="A11" s="7" t="inlineStr">
        <is>
          <t>TEAK Levha</t>
        </is>
      </c>
      <c r="B11" s="8" t="inlineStr">
        <is>
          <t>WPC Levha Plaka</t>
        </is>
      </c>
      <c r="C11" s="9" t="inlineStr">
        <is>
          <t>207 cm (2.07 m)</t>
        </is>
      </c>
      <c r="D11" s="8" t="inlineStr">
        <is>
          <t>En: 94 cm (2 mm)</t>
        </is>
      </c>
      <c r="E11" s="10" t="n">
        <v>4.25</v>
      </c>
      <c r="F11" s="11" t="n">
        <v>39775.75</v>
      </c>
      <c r="G11" s="12" t="inlineStr">
        <is>
          <t>Hat 201</t>
        </is>
      </c>
      <c r="H11" s="39" t="inlineStr">
        <is>
          <t>Tek Göz (1 Kafa)</t>
        </is>
      </c>
      <c r="I11" s="14" t="n">
        <v>235.1702808249805</v>
      </c>
      <c r="J11" s="15" t="n">
        <v>37</v>
      </c>
      <c r="K11" s="16" t="n">
        <v>165.8</v>
      </c>
      <c r="L11" s="41" t="n">
        <v>39</v>
      </c>
      <c r="M11" s="11" t="n">
        <v>3979.2</v>
      </c>
      <c r="N11" s="14" t="n">
        <v>190</v>
      </c>
      <c r="O11" s="42" t="n">
        <v>45</v>
      </c>
      <c r="P11" s="19" t="n">
        <v>0.873</v>
      </c>
      <c r="Q11" s="23" t="inlineStr">
        <is>
          <t>—</t>
        </is>
      </c>
      <c r="R11" s="39" t="inlineStr">
        <is>
          <t>—</t>
        </is>
      </c>
      <c r="S11" s="43" t="inlineStr">
        <is>
          <t>—</t>
        </is>
      </c>
      <c r="T11" s="43" t="inlineStr">
        <is>
          <t>—</t>
        </is>
      </c>
      <c r="U11" s="39" t="inlineStr">
        <is>
          <t>—</t>
        </is>
      </c>
      <c r="V11" s="43" t="inlineStr">
        <is>
          <t>—</t>
        </is>
      </c>
      <c r="W11" s="23" t="inlineStr">
        <is>
          <t>—</t>
        </is>
      </c>
      <c r="X11" s="8" t="inlineStr">
        <is>
          <t>Levha Özel Hattı (Hat 201)</t>
        </is>
      </c>
    </row>
    <row r="12" ht="20" customHeight="1">
      <c r="A12" s="24" t="inlineStr">
        <is>
          <t>SEREN(39mm)</t>
        </is>
      </c>
      <c r="B12" s="25" t="inlineStr">
        <is>
          <t>Seren Çıtası</t>
        </is>
      </c>
      <c r="C12" s="9" t="inlineStr">
        <is>
          <t>2.10 Metre</t>
        </is>
      </c>
      <c r="D12" s="25" t="inlineStr">
        <is>
          <t>39 x 45 mm</t>
        </is>
      </c>
      <c r="E12" s="26" t="n">
        <v>3.81</v>
      </c>
      <c r="F12" s="27" t="n">
        <v>34458</v>
      </c>
      <c r="G12" s="28" t="inlineStr">
        <is>
          <t>Hat 107</t>
        </is>
      </c>
      <c r="H12" s="40" t="inlineStr">
        <is>
          <t>Tek Göz (1 Kafa)</t>
        </is>
      </c>
      <c r="I12" s="29" t="n">
        <v>327</v>
      </c>
      <c r="J12" s="30" t="n">
        <v>29</v>
      </c>
      <c r="K12" s="31" t="n">
        <v>105.4</v>
      </c>
      <c r="L12" s="32" t="n">
        <v>28</v>
      </c>
      <c r="M12" s="27" t="n">
        <v>2529.6</v>
      </c>
      <c r="N12" s="29" t="n">
        <v>96.09999999999999</v>
      </c>
      <c r="O12" s="33" t="n">
        <v>25</v>
      </c>
      <c r="P12" s="34" t="n">
        <v>1.097</v>
      </c>
      <c r="Q12" s="38" t="inlineStr">
        <is>
          <t>—</t>
        </is>
      </c>
      <c r="R12" s="40" t="inlineStr">
        <is>
          <t>—</t>
        </is>
      </c>
      <c r="S12" s="44" t="inlineStr">
        <is>
          <t>—</t>
        </is>
      </c>
      <c r="T12" s="44" t="inlineStr">
        <is>
          <t>—</t>
        </is>
      </c>
      <c r="U12" s="40" t="inlineStr">
        <is>
          <t>—</t>
        </is>
      </c>
      <c r="V12" s="44" t="inlineStr">
        <is>
          <t>—</t>
        </is>
      </c>
      <c r="W12" s="38" t="inlineStr">
        <is>
          <t>—</t>
        </is>
      </c>
      <c r="X12" s="25" t="inlineStr">
        <is>
          <t>Tek Hat Atamalı</t>
        </is>
      </c>
    </row>
    <row r="13" ht="20" customHeight="1">
      <c r="A13" s="7" t="inlineStr">
        <is>
          <t>MIX TEAK Levha</t>
        </is>
      </c>
      <c r="B13" s="8" t="inlineStr">
        <is>
          <t>WPC Levha Plaka</t>
        </is>
      </c>
      <c r="C13" s="9" t="inlineStr">
        <is>
          <t>207 cm (2.07 m)</t>
        </is>
      </c>
      <c r="D13" s="8" t="inlineStr">
        <is>
          <t>En: 94 cm (2 mm)</t>
        </is>
      </c>
      <c r="E13" s="10" t="n">
        <v>4.25</v>
      </c>
      <c r="F13" s="11" t="n">
        <v>32618.75</v>
      </c>
      <c r="G13" s="12" t="inlineStr">
        <is>
          <t>Hat 201</t>
        </is>
      </c>
      <c r="H13" s="39" t="inlineStr">
        <is>
          <t>Tek Göz (1 Kafa)</t>
        </is>
      </c>
      <c r="I13" s="14" t="n">
        <v>187.6562562708018</v>
      </c>
      <c r="J13" s="15" t="n">
        <v>31</v>
      </c>
      <c r="K13" s="16" t="n">
        <v>174</v>
      </c>
      <c r="L13" s="41" t="n">
        <v>41</v>
      </c>
      <c r="M13" s="11" t="n">
        <v>4176</v>
      </c>
      <c r="N13" s="14" t="n">
        <v>190</v>
      </c>
      <c r="O13" s="42" t="n">
        <v>45</v>
      </c>
      <c r="P13" s="19" t="n">
        <v>0.9159999999999999</v>
      </c>
      <c r="Q13" s="23" t="inlineStr">
        <is>
          <t>—</t>
        </is>
      </c>
      <c r="R13" s="39" t="inlineStr">
        <is>
          <t>—</t>
        </is>
      </c>
      <c r="S13" s="43" t="inlineStr">
        <is>
          <t>—</t>
        </is>
      </c>
      <c r="T13" s="43" t="inlineStr">
        <is>
          <t>—</t>
        </is>
      </c>
      <c r="U13" s="39" t="inlineStr">
        <is>
          <t>—</t>
        </is>
      </c>
      <c r="V13" s="43" t="inlineStr">
        <is>
          <t>—</t>
        </is>
      </c>
      <c r="W13" s="23" t="inlineStr">
        <is>
          <t>—</t>
        </is>
      </c>
      <c r="X13" s="8" t="inlineStr">
        <is>
          <t>Levha Özel Hattı (Hat 201)</t>
        </is>
      </c>
    </row>
    <row r="14" ht="20" customHeight="1">
      <c r="A14" s="24" t="inlineStr">
        <is>
          <t>BEYAZ TEAK Levha</t>
        </is>
      </c>
      <c r="B14" s="25" t="inlineStr">
        <is>
          <t>WPC Levha Plaka</t>
        </is>
      </c>
      <c r="C14" s="9" t="inlineStr">
        <is>
          <t>207 cm (2.07 m)</t>
        </is>
      </c>
      <c r="D14" s="25" t="inlineStr">
        <is>
          <t>En: 94 cm (2 mm)</t>
        </is>
      </c>
      <c r="E14" s="26" t="n">
        <v>4.41</v>
      </c>
      <c r="F14" s="27" t="n">
        <v>32060.7</v>
      </c>
      <c r="G14" s="28" t="inlineStr">
        <is>
          <t>Hat 201</t>
        </is>
      </c>
      <c r="H14" s="40" t="inlineStr">
        <is>
          <t>Tek Göz (1 Kafa)</t>
        </is>
      </c>
      <c r="I14" s="29" t="n">
        <v>173.7487454529077</v>
      </c>
      <c r="J14" s="30" t="n">
        <v>30</v>
      </c>
      <c r="K14" s="31" t="n">
        <v>178.7</v>
      </c>
      <c r="L14" s="45" t="n">
        <v>40</v>
      </c>
      <c r="M14" s="27" t="n">
        <v>4288.8</v>
      </c>
      <c r="N14" s="29" t="n">
        <v>190</v>
      </c>
      <c r="O14" s="46" t="n">
        <v>43</v>
      </c>
      <c r="P14" s="34" t="n">
        <v>0.9409999999999999</v>
      </c>
      <c r="Q14" s="38" t="inlineStr">
        <is>
          <t>—</t>
        </is>
      </c>
      <c r="R14" s="40" t="inlineStr">
        <is>
          <t>—</t>
        </is>
      </c>
      <c r="S14" s="44" t="inlineStr">
        <is>
          <t>—</t>
        </is>
      </c>
      <c r="T14" s="44" t="inlineStr">
        <is>
          <t>—</t>
        </is>
      </c>
      <c r="U14" s="40" t="inlineStr">
        <is>
          <t>—</t>
        </is>
      </c>
      <c r="V14" s="44" t="inlineStr">
        <is>
          <t>—</t>
        </is>
      </c>
      <c r="W14" s="38" t="inlineStr">
        <is>
          <t>—</t>
        </is>
      </c>
      <c r="X14" s="25" t="inlineStr">
        <is>
          <t>Levha Özel Hattı (Hat 201)</t>
        </is>
      </c>
    </row>
    <row r="15" ht="20" customHeight="1">
      <c r="A15" s="7" t="inlineStr">
        <is>
          <t>VIZON Levha</t>
        </is>
      </c>
      <c r="B15" s="8" t="inlineStr">
        <is>
          <t>WPC Levha Plaka</t>
        </is>
      </c>
      <c r="C15" s="9" t="inlineStr">
        <is>
          <t>207 cm (2.07 m)</t>
        </is>
      </c>
      <c r="D15" s="8" t="inlineStr">
        <is>
          <t>En: 94 cm (2 mm)</t>
        </is>
      </c>
      <c r="E15" s="10" t="n">
        <v>4.77</v>
      </c>
      <c r="F15" s="11" t="n">
        <v>18364.5</v>
      </c>
      <c r="G15" s="12" t="inlineStr">
        <is>
          <t>Hat 201</t>
        </is>
      </c>
      <c r="H15" s="39" t="inlineStr">
        <is>
          <t>Tek Göz (1 Kafa)</t>
        </is>
      </c>
      <c r="I15" s="14" t="n">
        <v>114.2245721724266</v>
      </c>
      <c r="J15" s="15" t="n">
        <v>22</v>
      </c>
      <c r="K15" s="16" t="n">
        <v>159.9</v>
      </c>
      <c r="L15" s="41" t="n">
        <v>34</v>
      </c>
      <c r="M15" s="11" t="n">
        <v>3837.6</v>
      </c>
      <c r="N15" s="14" t="n">
        <v>190</v>
      </c>
      <c r="O15" s="42" t="n">
        <v>40</v>
      </c>
      <c r="P15" s="19" t="n">
        <v>0.8420000000000001</v>
      </c>
      <c r="Q15" s="23" t="inlineStr">
        <is>
          <t>—</t>
        </is>
      </c>
      <c r="R15" s="39" t="inlineStr">
        <is>
          <t>—</t>
        </is>
      </c>
      <c r="S15" s="43" t="inlineStr">
        <is>
          <t>—</t>
        </is>
      </c>
      <c r="T15" s="43" t="inlineStr">
        <is>
          <t>—</t>
        </is>
      </c>
      <c r="U15" s="39" t="inlineStr">
        <is>
          <t>—</t>
        </is>
      </c>
      <c r="V15" s="43" t="inlineStr">
        <is>
          <t>—</t>
        </is>
      </c>
      <c r="W15" s="23" t="inlineStr">
        <is>
          <t>—</t>
        </is>
      </c>
      <c r="X15" s="8" t="inlineStr">
        <is>
          <t>Levha Özel Hattı (Hat 201)</t>
        </is>
      </c>
    </row>
    <row r="16" ht="20" customHeight="1">
      <c r="A16" s="24" t="inlineStr">
        <is>
          <t>KT100-220x24-ANT</t>
        </is>
      </c>
      <c r="B16" s="25" t="inlineStr">
        <is>
          <t>Deck / WPC Zemin</t>
        </is>
      </c>
      <c r="C16" s="9" t="inlineStr">
        <is>
          <t>3.00 Metre</t>
        </is>
      </c>
      <c r="D16" s="25" t="inlineStr">
        <is>
          <t>220 x 24 mm</t>
        </is>
      </c>
      <c r="E16" s="26" t="n">
        <v>10.33</v>
      </c>
      <c r="F16" s="27" t="n">
        <v>17678</v>
      </c>
      <c r="G16" s="28" t="inlineStr">
        <is>
          <t>Hat 107</t>
        </is>
      </c>
      <c r="H16" s="40" t="inlineStr">
        <is>
          <t>Tek Göz (1 Kafa)</t>
        </is>
      </c>
      <c r="I16" s="29" t="n">
        <v>205.7</v>
      </c>
      <c r="J16" s="30" t="n">
        <v>23</v>
      </c>
      <c r="K16" s="31" t="n">
        <v>85.90000000000001</v>
      </c>
      <c r="L16" s="32" t="n">
        <v>8</v>
      </c>
      <c r="M16" s="27" t="n">
        <v>2061.6</v>
      </c>
      <c r="N16" s="29" t="n">
        <v>84.7</v>
      </c>
      <c r="O16" s="33" t="n">
        <v>8</v>
      </c>
      <c r="P16" s="34" t="n">
        <v>1.014</v>
      </c>
      <c r="Q16" s="38" t="inlineStr">
        <is>
          <t>—</t>
        </is>
      </c>
      <c r="R16" s="40" t="inlineStr">
        <is>
          <t>—</t>
        </is>
      </c>
      <c r="S16" s="44" t="inlineStr">
        <is>
          <t>—</t>
        </is>
      </c>
      <c r="T16" s="44" t="inlineStr">
        <is>
          <t>—</t>
        </is>
      </c>
      <c r="U16" s="40" t="inlineStr">
        <is>
          <t>—</t>
        </is>
      </c>
      <c r="V16" s="44" t="inlineStr">
        <is>
          <t>—</t>
        </is>
      </c>
      <c r="W16" s="38" t="inlineStr">
        <is>
          <t>—</t>
        </is>
      </c>
      <c r="X16" s="25" t="inlineStr">
        <is>
          <t>Tek Hat Atamalı</t>
        </is>
      </c>
    </row>
    <row r="17" ht="20" customHeight="1">
      <c r="A17" s="7" t="inlineStr">
        <is>
          <t>80X80 PERVAZ</t>
        </is>
      </c>
      <c r="B17" s="8" t="inlineStr">
        <is>
          <t>Pervaz Profili</t>
        </is>
      </c>
      <c r="C17" s="9" t="inlineStr">
        <is>
          <t>2.20 Metre</t>
        </is>
      </c>
      <c r="D17" s="8" t="inlineStr">
        <is>
          <t>80 x 80 mm</t>
        </is>
      </c>
      <c r="E17" s="10" t="n">
        <v>2.2</v>
      </c>
      <c r="F17" s="11" t="n">
        <v>14339</v>
      </c>
      <c r="G17" s="12" t="inlineStr">
        <is>
          <t>Hat 101</t>
        </is>
      </c>
      <c r="H17" s="39" t="inlineStr">
        <is>
          <t>Tek Göz (1 Kafa)</t>
        </is>
      </c>
      <c r="I17" s="14" t="n">
        <v>260.5</v>
      </c>
      <c r="J17" s="15" t="n">
        <v>27</v>
      </c>
      <c r="K17" s="16" t="n">
        <v>51.1</v>
      </c>
      <c r="L17" s="17" t="n">
        <v>23</v>
      </c>
      <c r="M17" s="11" t="n">
        <v>1226.4</v>
      </c>
      <c r="N17" s="14" t="n">
        <v>46.5</v>
      </c>
      <c r="O17" s="18" t="n">
        <v>21</v>
      </c>
      <c r="P17" s="19" t="n">
        <v>1.099</v>
      </c>
      <c r="Q17" s="20" t="inlineStr">
        <is>
          <t>Hat 109</t>
        </is>
      </c>
      <c r="R17" s="21" t="inlineStr">
        <is>
          <t>Çift Göz (2 Kafa)</t>
        </is>
      </c>
      <c r="S17" s="22" t="n">
        <v>12</v>
      </c>
      <c r="T17" s="22" t="n">
        <v>85.09999999999999</v>
      </c>
      <c r="U17" s="18" t="n">
        <v>39</v>
      </c>
      <c r="V17" s="22" t="n">
        <v>85.09999999999999</v>
      </c>
      <c r="W17" s="23" t="inlineStr">
        <is>
          <t>—</t>
        </is>
      </c>
      <c r="X17" s="8" t="inlineStr">
        <is>
          <t>Aktif Çift Hatlı Üretim (Yüksek Hacimli)</t>
        </is>
      </c>
    </row>
    <row r="18" ht="20" customHeight="1">
      <c r="A18" s="24" t="inlineStr">
        <is>
          <t>35X100 PERVAZ</t>
        </is>
      </c>
      <c r="B18" s="25" t="inlineStr">
        <is>
          <t>Pervaz Profili</t>
        </is>
      </c>
      <c r="C18" s="9" t="inlineStr">
        <is>
          <t>2.20 Metre</t>
        </is>
      </c>
      <c r="D18" s="25" t="inlineStr">
        <is>
          <t>35 x 100 mm</t>
        </is>
      </c>
      <c r="E18" s="26" t="n">
        <v>2.08</v>
      </c>
      <c r="F18" s="27" t="n">
        <v>10435</v>
      </c>
      <c r="G18" s="28" t="inlineStr">
        <is>
          <t>Hat 101</t>
        </is>
      </c>
      <c r="H18" s="40" t="inlineStr">
        <is>
          <t>Tek Göz (1 Kafa)</t>
        </is>
      </c>
      <c r="I18" s="29" t="n">
        <v>241</v>
      </c>
      <c r="J18" s="30" t="n">
        <v>22</v>
      </c>
      <c r="K18" s="31" t="n">
        <v>43.3</v>
      </c>
      <c r="L18" s="32" t="n">
        <v>21</v>
      </c>
      <c r="M18" s="27" t="n">
        <v>1039.2</v>
      </c>
      <c r="N18" s="29" t="n">
        <v>46.8</v>
      </c>
      <c r="O18" s="33" t="n">
        <v>22</v>
      </c>
      <c r="P18" s="34" t="n">
        <v>0.925</v>
      </c>
      <c r="Q18" s="38" t="inlineStr">
        <is>
          <t>—</t>
        </is>
      </c>
      <c r="R18" s="40" t="inlineStr">
        <is>
          <t>—</t>
        </is>
      </c>
      <c r="S18" s="44" t="inlineStr">
        <is>
          <t>—</t>
        </is>
      </c>
      <c r="T18" s="44" t="inlineStr">
        <is>
          <t>—</t>
        </is>
      </c>
      <c r="U18" s="40" t="inlineStr">
        <is>
          <t>—</t>
        </is>
      </c>
      <c r="V18" s="44" t="inlineStr">
        <is>
          <t>—</t>
        </is>
      </c>
      <c r="W18" s="38" t="inlineStr">
        <is>
          <t>—</t>
        </is>
      </c>
      <c r="X18" s="25" t="inlineStr">
        <is>
          <t>Tek Hat Atamalı</t>
        </is>
      </c>
    </row>
    <row r="19" ht="20" customHeight="1">
      <c r="A19" s="7" t="inlineStr">
        <is>
          <t>35X150 PERVAZ</t>
        </is>
      </c>
      <c r="B19" s="8" t="inlineStr">
        <is>
          <t>Pervaz Profili</t>
        </is>
      </c>
      <c r="C19" s="9" t="inlineStr">
        <is>
          <t>2.20 Metre</t>
        </is>
      </c>
      <c r="D19" s="8" t="inlineStr">
        <is>
          <t>35 x 150 mm</t>
        </is>
      </c>
      <c r="E19" s="10" t="n">
        <v>2.97</v>
      </c>
      <c r="F19" s="11" t="n">
        <v>9522</v>
      </c>
      <c r="G19" s="12" t="inlineStr">
        <is>
          <t>Hat 101</t>
        </is>
      </c>
      <c r="H19" s="39" t="inlineStr">
        <is>
          <t>Tek Göz (1 Kafa)</t>
        </is>
      </c>
      <c r="I19" s="14" t="n">
        <v>231</v>
      </c>
      <c r="J19" s="15" t="n">
        <v>20</v>
      </c>
      <c r="K19" s="16" t="n">
        <v>41.2</v>
      </c>
      <c r="L19" s="17" t="n">
        <v>14</v>
      </c>
      <c r="M19" s="11" t="n">
        <v>988.8</v>
      </c>
      <c r="N19" s="14" t="n">
        <v>41.2</v>
      </c>
      <c r="O19" s="18" t="n">
        <v>14</v>
      </c>
      <c r="P19" s="19" t="n">
        <v>1</v>
      </c>
      <c r="Q19" s="23" t="inlineStr">
        <is>
          <t>—</t>
        </is>
      </c>
      <c r="R19" s="39" t="inlineStr">
        <is>
          <t>—</t>
        </is>
      </c>
      <c r="S19" s="43" t="inlineStr">
        <is>
          <t>—</t>
        </is>
      </c>
      <c r="T19" s="43" t="inlineStr">
        <is>
          <t>—</t>
        </is>
      </c>
      <c r="U19" s="39" t="inlineStr">
        <is>
          <t>—</t>
        </is>
      </c>
      <c r="V19" s="43" t="inlineStr">
        <is>
          <t>—</t>
        </is>
      </c>
      <c r="W19" s="23" t="inlineStr">
        <is>
          <t>—</t>
        </is>
      </c>
      <c r="X19" s="8" t="inlineStr">
        <is>
          <t>Tek Hat Atamalı</t>
        </is>
      </c>
    </row>
    <row r="20" ht="20" customHeight="1">
      <c r="A20" s="24" t="inlineStr">
        <is>
          <t>KT102-219x26-ANT</t>
        </is>
      </c>
      <c r="B20" s="25" t="inlineStr">
        <is>
          <t>Deck / WPC Zemin</t>
        </is>
      </c>
      <c r="C20" s="9" t="inlineStr">
        <is>
          <t>3.00 Metre</t>
        </is>
      </c>
      <c r="D20" s="25" t="inlineStr">
        <is>
          <t>219 x 26 mm</t>
        </is>
      </c>
      <c r="E20" s="26" t="n">
        <v>10.52</v>
      </c>
      <c r="F20" s="27" t="n">
        <v>9415</v>
      </c>
      <c r="G20" s="28" t="inlineStr">
        <is>
          <t>Hat 107</t>
        </is>
      </c>
      <c r="H20" s="40" t="inlineStr">
        <is>
          <t>Tek Göz (1 Kafa)</t>
        </is>
      </c>
      <c r="I20" s="29" t="n">
        <v>87</v>
      </c>
      <c r="J20" s="30" t="n">
        <v>10</v>
      </c>
      <c r="K20" s="31" t="n">
        <v>108.2</v>
      </c>
      <c r="L20" s="32" t="n">
        <v>10</v>
      </c>
      <c r="M20" s="27" t="n">
        <v>2596.8</v>
      </c>
      <c r="N20" s="29" t="n">
        <v>108.2</v>
      </c>
      <c r="O20" s="33" t="n">
        <v>10</v>
      </c>
      <c r="P20" s="34" t="n">
        <v>1</v>
      </c>
      <c r="Q20" s="38" t="inlineStr">
        <is>
          <t>—</t>
        </is>
      </c>
      <c r="R20" s="40" t="inlineStr">
        <is>
          <t>—</t>
        </is>
      </c>
      <c r="S20" s="44" t="inlineStr">
        <is>
          <t>—</t>
        </is>
      </c>
      <c r="T20" s="44" t="inlineStr">
        <is>
          <t>—</t>
        </is>
      </c>
      <c r="U20" s="40" t="inlineStr">
        <is>
          <t>—</t>
        </is>
      </c>
      <c r="V20" s="44" t="inlineStr">
        <is>
          <t>—</t>
        </is>
      </c>
      <c r="W20" s="38" t="inlineStr">
        <is>
          <t>—</t>
        </is>
      </c>
      <c r="X20" s="25" t="inlineStr">
        <is>
          <t>Tek Hat Atamalı</t>
        </is>
      </c>
    </row>
    <row r="21" ht="20" customHeight="1">
      <c r="A21" s="7" t="inlineStr">
        <is>
          <t>MIX BEYAZ TEAK Levha</t>
        </is>
      </c>
      <c r="B21" s="8" t="inlineStr">
        <is>
          <t>WPC Levha Plaka</t>
        </is>
      </c>
      <c r="C21" s="9" t="inlineStr">
        <is>
          <t>207 cm (2.07 m)</t>
        </is>
      </c>
      <c r="D21" s="8" t="inlineStr">
        <is>
          <t>En: 94 cm (2 mm)</t>
        </is>
      </c>
      <c r="E21" s="10" t="n">
        <v>4.25</v>
      </c>
      <c r="F21" s="11" t="n">
        <v>9124.75</v>
      </c>
      <c r="G21" s="12" t="inlineStr">
        <is>
          <t>Hat 201</t>
        </is>
      </c>
      <c r="H21" s="39" t="inlineStr">
        <is>
          <t>Tek Göz (1 Kafa)</t>
        </is>
      </c>
      <c r="I21" s="14" t="n">
        <v>48.79255891118007</v>
      </c>
      <c r="J21" s="15" t="n">
        <v>9</v>
      </c>
      <c r="K21" s="16" t="n">
        <v>187.5</v>
      </c>
      <c r="L21" s="41" t="n">
        <v>44</v>
      </c>
      <c r="M21" s="11" t="n">
        <v>4500</v>
      </c>
      <c r="N21" s="14" t="n">
        <v>190</v>
      </c>
      <c r="O21" s="42" t="n">
        <v>45</v>
      </c>
      <c r="P21" s="19" t="n">
        <v>0.987</v>
      </c>
      <c r="Q21" s="23" t="inlineStr">
        <is>
          <t>—</t>
        </is>
      </c>
      <c r="R21" s="39" t="inlineStr">
        <is>
          <t>—</t>
        </is>
      </c>
      <c r="S21" s="43" t="inlineStr">
        <is>
          <t>—</t>
        </is>
      </c>
      <c r="T21" s="43" t="inlineStr">
        <is>
          <t>—</t>
        </is>
      </c>
      <c r="U21" s="39" t="inlineStr">
        <is>
          <t>—</t>
        </is>
      </c>
      <c r="V21" s="43" t="inlineStr">
        <is>
          <t>—</t>
        </is>
      </c>
      <c r="W21" s="23" t="inlineStr">
        <is>
          <t>—</t>
        </is>
      </c>
      <c r="X21" s="8" t="inlineStr">
        <is>
          <t>Levha Özel Hattı (Hat 201)</t>
        </is>
      </c>
    </row>
    <row r="22" ht="20" customHeight="1">
      <c r="A22" s="24" t="inlineStr">
        <is>
          <t>CAM ÇITASI</t>
        </is>
      </c>
      <c r="B22" s="25" t="inlineStr">
        <is>
          <t>Cam Çıtası</t>
        </is>
      </c>
      <c r="C22" s="9" t="inlineStr">
        <is>
          <t>2.20 Metre</t>
        </is>
      </c>
      <c r="D22" s="25" t="inlineStr">
        <is>
          <t>15 x 20 mm</t>
        </is>
      </c>
      <c r="E22" s="26" t="n">
        <v>1.5</v>
      </c>
      <c r="F22" s="27" t="n">
        <v>7805</v>
      </c>
      <c r="G22" s="28" t="inlineStr">
        <is>
          <t>Hat 102</t>
        </is>
      </c>
      <c r="H22" s="40" t="inlineStr">
        <is>
          <t>Tek Göz (1 Kafa)</t>
        </is>
      </c>
      <c r="I22" s="29" t="n">
        <v>150</v>
      </c>
      <c r="J22" s="30" t="n">
        <v>14</v>
      </c>
      <c r="K22" s="31" t="n">
        <v>52</v>
      </c>
      <c r="L22" s="32" t="n">
        <v>35</v>
      </c>
      <c r="M22" s="27" t="n">
        <v>1248</v>
      </c>
      <c r="N22" s="29" t="n">
        <v>50</v>
      </c>
      <c r="O22" s="33" t="n">
        <v>33</v>
      </c>
      <c r="P22" s="34" t="n">
        <v>1.04</v>
      </c>
      <c r="Q22" s="38" t="inlineStr">
        <is>
          <t>—</t>
        </is>
      </c>
      <c r="R22" s="40" t="inlineStr">
        <is>
          <t>—</t>
        </is>
      </c>
      <c r="S22" s="44" t="inlineStr">
        <is>
          <t>—</t>
        </is>
      </c>
      <c r="T22" s="44" t="inlineStr">
        <is>
          <t>—</t>
        </is>
      </c>
      <c r="U22" s="40" t="inlineStr">
        <is>
          <t>—</t>
        </is>
      </c>
      <c r="V22" s="44" t="inlineStr">
        <is>
          <t>—</t>
        </is>
      </c>
      <c r="W22" s="38" t="inlineStr">
        <is>
          <t>—</t>
        </is>
      </c>
      <c r="X22" s="25" t="inlineStr">
        <is>
          <t>Tek Hat Atamalı</t>
        </is>
      </c>
    </row>
    <row r="23" ht="20" customHeight="1">
      <c r="A23" s="7" t="inlineStr">
        <is>
          <t>SONOMO Levha</t>
        </is>
      </c>
      <c r="B23" s="8" t="inlineStr">
        <is>
          <t>WPC Levha Plaka</t>
        </is>
      </c>
      <c r="C23" s="9" t="inlineStr">
        <is>
          <t>207 cm (2.07 m)</t>
        </is>
      </c>
      <c r="D23" s="8" t="inlineStr">
        <is>
          <t>En: 94 cm (2 mm)</t>
        </is>
      </c>
      <c r="E23" s="10" t="n">
        <v>4.33</v>
      </c>
      <c r="F23" s="11" t="n">
        <v>7690.08</v>
      </c>
      <c r="G23" s="12" t="inlineStr">
        <is>
          <t>Hat 201</t>
        </is>
      </c>
      <c r="H23" s="39" t="inlineStr">
        <is>
          <t>Tek Göz (1 Kafa)</t>
        </is>
      </c>
      <c r="I23" s="14" t="n">
        <v>47.95702552864577</v>
      </c>
      <c r="J23" s="15" t="n">
        <v>13</v>
      </c>
      <c r="K23" s="16" t="n">
        <v>167.9</v>
      </c>
      <c r="L23" s="41" t="n">
        <v>39</v>
      </c>
      <c r="M23" s="11" t="n">
        <v>4029.6</v>
      </c>
      <c r="N23" s="14" t="n">
        <v>190</v>
      </c>
      <c r="O23" s="42" t="n">
        <v>44</v>
      </c>
      <c r="P23" s="19" t="n">
        <v>0.884</v>
      </c>
      <c r="Q23" s="23" t="inlineStr">
        <is>
          <t>—</t>
        </is>
      </c>
      <c r="R23" s="39" t="inlineStr">
        <is>
          <t>—</t>
        </is>
      </c>
      <c r="S23" s="43" t="inlineStr">
        <is>
          <t>—</t>
        </is>
      </c>
      <c r="T23" s="43" t="inlineStr">
        <is>
          <t>—</t>
        </is>
      </c>
      <c r="U23" s="39" t="inlineStr">
        <is>
          <t>—</t>
        </is>
      </c>
      <c r="V23" s="43" t="inlineStr">
        <is>
          <t>—</t>
        </is>
      </c>
      <c r="W23" s="23" t="inlineStr">
        <is>
          <t>—</t>
        </is>
      </c>
      <c r="X23" s="8" t="inlineStr">
        <is>
          <t>Levha Özel Hattı (Hat 201)</t>
        </is>
      </c>
    </row>
    <row r="24" ht="20" customHeight="1">
      <c r="A24" s="24" t="inlineStr">
        <is>
          <t>AY GRİ Levha</t>
        </is>
      </c>
      <c r="B24" s="25" t="inlineStr">
        <is>
          <t>WPC Levha Plaka</t>
        </is>
      </c>
      <c r="C24" s="9" t="inlineStr">
        <is>
          <t>207 cm (2.07 m)</t>
        </is>
      </c>
      <c r="D24" s="25" t="inlineStr">
        <is>
          <t>En: 94 cm (2 mm)</t>
        </is>
      </c>
      <c r="E24" s="26" t="n">
        <v>4.64</v>
      </c>
      <c r="F24" s="27" t="n">
        <v>6018.08</v>
      </c>
      <c r="G24" s="28" t="inlineStr">
        <is>
          <t>Hat 201</t>
        </is>
      </c>
      <c r="H24" s="40" t="inlineStr">
        <is>
          <t>Tek Göz (1 Kafa)</t>
        </is>
      </c>
      <c r="I24" s="29" t="n">
        <v>38.03440860215053</v>
      </c>
      <c r="J24" s="30" t="n">
        <v>8</v>
      </c>
      <c r="K24" s="31" t="n">
        <v>185.6</v>
      </c>
      <c r="L24" s="45" t="n">
        <v>40</v>
      </c>
      <c r="M24" s="27" t="n">
        <v>4454.4</v>
      </c>
      <c r="N24" s="29" t="n">
        <v>190</v>
      </c>
      <c r="O24" s="46" t="n">
        <v>41</v>
      </c>
      <c r="P24" s="34" t="n">
        <v>0.977</v>
      </c>
      <c r="Q24" s="38" t="inlineStr">
        <is>
          <t>—</t>
        </is>
      </c>
      <c r="R24" s="40" t="inlineStr">
        <is>
          <t>—</t>
        </is>
      </c>
      <c r="S24" s="44" t="inlineStr">
        <is>
          <t>—</t>
        </is>
      </c>
      <c r="T24" s="44" t="inlineStr">
        <is>
          <t>—</t>
        </is>
      </c>
      <c r="U24" s="40" t="inlineStr">
        <is>
          <t>—</t>
        </is>
      </c>
      <c r="V24" s="44" t="inlineStr">
        <is>
          <t>—</t>
        </is>
      </c>
      <c r="W24" s="38" t="inlineStr">
        <is>
          <t>—</t>
        </is>
      </c>
      <c r="X24" s="25" t="inlineStr">
        <is>
          <t>Levha Özel Hattı (Hat 201)</t>
        </is>
      </c>
    </row>
    <row r="25" ht="20" customHeight="1">
      <c r="A25" s="7" t="inlineStr">
        <is>
          <t>ANTRASİT Levha</t>
        </is>
      </c>
      <c r="B25" s="8" t="inlineStr">
        <is>
          <t>WPC Levha Plaka</t>
        </is>
      </c>
      <c r="C25" s="9" t="inlineStr">
        <is>
          <t>207 cm (2.07 m)</t>
        </is>
      </c>
      <c r="D25" s="8" t="inlineStr">
        <is>
          <t>En: 94 cm (2 mm)</t>
        </is>
      </c>
      <c r="E25" s="10" t="n">
        <v>4.77</v>
      </c>
      <c r="F25" s="11" t="n">
        <v>5609.52</v>
      </c>
      <c r="G25" s="12" t="inlineStr">
        <is>
          <t>Hat 201</t>
        </is>
      </c>
      <c r="H25" s="39" t="inlineStr">
        <is>
          <t>Tek Göz (1 Kafa)</t>
        </is>
      </c>
      <c r="I25" s="14" t="n">
        <v>37.72884989747753</v>
      </c>
      <c r="J25" s="15" t="n">
        <v>8</v>
      </c>
      <c r="K25" s="16" t="n">
        <v>190.8</v>
      </c>
      <c r="L25" s="41" t="n">
        <v>40</v>
      </c>
      <c r="M25" s="11" t="n">
        <v>4579.2</v>
      </c>
      <c r="N25" s="14" t="n">
        <v>190</v>
      </c>
      <c r="O25" s="42" t="n">
        <v>40</v>
      </c>
      <c r="P25" s="19" t="n">
        <v>1.004</v>
      </c>
      <c r="Q25" s="23" t="inlineStr">
        <is>
          <t>—</t>
        </is>
      </c>
      <c r="R25" s="39" t="inlineStr">
        <is>
          <t>—</t>
        </is>
      </c>
      <c r="S25" s="43" t="inlineStr">
        <is>
          <t>—</t>
        </is>
      </c>
      <c r="T25" s="43" t="inlineStr">
        <is>
          <t>—</t>
        </is>
      </c>
      <c r="U25" s="39" t="inlineStr">
        <is>
          <t>—</t>
        </is>
      </c>
      <c r="V25" s="43" t="inlineStr">
        <is>
          <t>—</t>
        </is>
      </c>
      <c r="W25" s="23" t="inlineStr">
        <is>
          <t>—</t>
        </is>
      </c>
      <c r="X25" s="8" t="inlineStr">
        <is>
          <t>Levha Özel Hattı (Hat 201)</t>
        </is>
      </c>
    </row>
    <row r="26" ht="20" customHeight="1">
      <c r="A26" s="24" t="inlineStr">
        <is>
          <t>KOYU CEVİZ Levha</t>
        </is>
      </c>
      <c r="B26" s="25" t="inlineStr">
        <is>
          <t>WPC Levha Plaka</t>
        </is>
      </c>
      <c r="C26" s="9" t="inlineStr">
        <is>
          <t>207 cm (2.07 m)</t>
        </is>
      </c>
      <c r="D26" s="25" t="inlineStr">
        <is>
          <t>En: 94 cm (2 mm)</t>
        </is>
      </c>
      <c r="E26" s="26" t="n">
        <v>4.79</v>
      </c>
      <c r="F26" s="27" t="n">
        <v>3846.37</v>
      </c>
      <c r="G26" s="28" t="inlineStr">
        <is>
          <t>Hat 201</t>
        </is>
      </c>
      <c r="H26" s="40" t="inlineStr">
        <is>
          <t>Tek Göz (1 Kafa)</t>
        </is>
      </c>
      <c r="I26" s="29" t="n">
        <v>31.97761876040141</v>
      </c>
      <c r="J26" s="30" t="n">
        <v>7</v>
      </c>
      <c r="K26" s="31" t="n">
        <v>95.8</v>
      </c>
      <c r="L26" s="45" t="n">
        <v>20</v>
      </c>
      <c r="M26" s="27" t="n">
        <v>2299.2</v>
      </c>
      <c r="N26" s="29" t="n">
        <v>190</v>
      </c>
      <c r="O26" s="46" t="n">
        <v>40</v>
      </c>
      <c r="P26" s="47" t="n">
        <v>0.504</v>
      </c>
      <c r="Q26" s="38" t="inlineStr">
        <is>
          <t>—</t>
        </is>
      </c>
      <c r="R26" s="40" t="inlineStr">
        <is>
          <t>—</t>
        </is>
      </c>
      <c r="S26" s="44" t="inlineStr">
        <is>
          <t>—</t>
        </is>
      </c>
      <c r="T26" s="44" t="inlineStr">
        <is>
          <t>—</t>
        </is>
      </c>
      <c r="U26" s="40" t="inlineStr">
        <is>
          <t>—</t>
        </is>
      </c>
      <c r="V26" s="44" t="inlineStr">
        <is>
          <t>—</t>
        </is>
      </c>
      <c r="W26" s="38" t="inlineStr">
        <is>
          <t>—</t>
        </is>
      </c>
      <c r="X26" s="25" t="inlineStr">
        <is>
          <t>Levha Özel Hattı (Hat 201)</t>
        </is>
      </c>
    </row>
    <row r="27" ht="20" customHeight="1">
      <c r="A27" s="7" t="inlineStr">
        <is>
          <t>COCO Levha</t>
        </is>
      </c>
      <c r="B27" s="8" t="inlineStr">
        <is>
          <t>WPC Levha Plaka</t>
        </is>
      </c>
      <c r="C27" s="9" t="inlineStr">
        <is>
          <t>207 cm (2.07 m)</t>
        </is>
      </c>
      <c r="D27" s="8" t="inlineStr">
        <is>
          <t>En: 94 cm (2 mm)</t>
        </is>
      </c>
      <c r="E27" s="10" t="n">
        <v>4.79</v>
      </c>
      <c r="F27" s="11" t="n">
        <v>2874</v>
      </c>
      <c r="G27" s="12" t="inlineStr">
        <is>
          <t>Hat 201</t>
        </is>
      </c>
      <c r="H27" s="39" t="inlineStr">
        <is>
          <t>Tek Göz (1 Kafa)</t>
        </is>
      </c>
      <c r="I27" s="14" t="n">
        <v>14.5</v>
      </c>
      <c r="J27" s="15" t="n">
        <v>3</v>
      </c>
      <c r="K27" s="16" t="n">
        <v>134.1</v>
      </c>
      <c r="L27" s="41" t="n">
        <v>28</v>
      </c>
      <c r="M27" s="11" t="n">
        <v>3218.4</v>
      </c>
      <c r="N27" s="14" t="n">
        <v>190</v>
      </c>
      <c r="O27" s="42" t="n">
        <v>40</v>
      </c>
      <c r="P27" s="48" t="n">
        <v>0.706</v>
      </c>
      <c r="Q27" s="23" t="inlineStr">
        <is>
          <t>—</t>
        </is>
      </c>
      <c r="R27" s="39" t="inlineStr">
        <is>
          <t>—</t>
        </is>
      </c>
      <c r="S27" s="43" t="inlineStr">
        <is>
          <t>—</t>
        </is>
      </c>
      <c r="T27" s="43" t="inlineStr">
        <is>
          <t>—</t>
        </is>
      </c>
      <c r="U27" s="39" t="inlineStr">
        <is>
          <t>—</t>
        </is>
      </c>
      <c r="V27" s="43" t="inlineStr">
        <is>
          <t>—</t>
        </is>
      </c>
      <c r="W27" s="23" t="inlineStr">
        <is>
          <t>—</t>
        </is>
      </c>
      <c r="X27" s="8" t="inlineStr">
        <is>
          <t>Levha Özel Hattı (Hat 201)</t>
        </is>
      </c>
    </row>
    <row r="28" ht="20" customHeight="1">
      <c r="A28" s="24" t="inlineStr">
        <is>
          <t>U KAPAMA</t>
        </is>
      </c>
      <c r="B28" s="25" t="inlineStr">
        <is>
          <t>U Kapama / Lambiri</t>
        </is>
      </c>
      <c r="C28" s="9" t="inlineStr">
        <is>
          <t>2.20 Metre</t>
        </is>
      </c>
      <c r="D28" s="25" t="inlineStr">
        <is>
          <t>30 x 15 mm</t>
        </is>
      </c>
      <c r="E28" s="26" t="n">
        <v>0.48</v>
      </c>
      <c r="F28" s="27" t="n">
        <v>1385</v>
      </c>
      <c r="G28" s="28" t="inlineStr">
        <is>
          <t>Hat 102</t>
        </is>
      </c>
      <c r="H28" s="40" t="inlineStr">
        <is>
          <t>Tek Göz (1 Kafa)</t>
        </is>
      </c>
      <c r="I28" s="29" t="n">
        <v>34</v>
      </c>
      <c r="J28" s="30" t="n">
        <v>4</v>
      </c>
      <c r="K28" s="31" t="n">
        <v>40.7</v>
      </c>
      <c r="L28" s="32" t="n">
        <v>85</v>
      </c>
      <c r="M28" s="27" t="n">
        <v>976.8</v>
      </c>
      <c r="N28" s="29" t="n">
        <v>40.7</v>
      </c>
      <c r="O28" s="33" t="n">
        <v>85</v>
      </c>
      <c r="P28" s="34" t="n">
        <v>1</v>
      </c>
      <c r="Q28" s="38" t="inlineStr">
        <is>
          <t>—</t>
        </is>
      </c>
      <c r="R28" s="40" t="inlineStr">
        <is>
          <t>—</t>
        </is>
      </c>
      <c r="S28" s="44" t="inlineStr">
        <is>
          <t>—</t>
        </is>
      </c>
      <c r="T28" s="44" t="inlineStr">
        <is>
          <t>—</t>
        </is>
      </c>
      <c r="U28" s="40" t="inlineStr">
        <is>
          <t>—</t>
        </is>
      </c>
      <c r="V28" s="44" t="inlineStr">
        <is>
          <t>—</t>
        </is>
      </c>
      <c r="W28" s="38" t="inlineStr">
        <is>
          <t>—</t>
        </is>
      </c>
      <c r="X28" s="25" t="inlineStr">
        <is>
          <t>Tek Hat Atamalı</t>
        </is>
      </c>
    </row>
    <row r="29" ht="20" customHeight="1">
      <c r="A29" s="7" t="inlineStr">
        <is>
          <t>35X80 PERVAZ</t>
        </is>
      </c>
      <c r="B29" s="8" t="inlineStr">
        <is>
          <t>Pervaz Profili</t>
        </is>
      </c>
      <c r="C29" s="9" t="inlineStr">
        <is>
          <t>2.20 Metre</t>
        </is>
      </c>
      <c r="D29" s="8" t="inlineStr">
        <is>
          <t>35 x 80 mm</t>
        </is>
      </c>
      <c r="E29" s="10" t="n">
        <v>2.94</v>
      </c>
      <c r="F29" s="11" t="n">
        <v>530</v>
      </c>
      <c r="G29" s="12" t="inlineStr">
        <is>
          <t>Hat 101</t>
        </is>
      </c>
      <c r="H29" s="39" t="inlineStr">
        <is>
          <t>Tek Göz (1 Kafa)</t>
        </is>
      </c>
      <c r="I29" s="14" t="n">
        <v>12</v>
      </c>
      <c r="J29" s="15" t="n">
        <v>1</v>
      </c>
      <c r="K29" s="16" t="n">
        <v>44.2</v>
      </c>
      <c r="L29" s="17" t="n">
        <v>15</v>
      </c>
      <c r="M29" s="11" t="n">
        <v>1060.8</v>
      </c>
      <c r="N29" s="14" t="n">
        <v>44.2</v>
      </c>
      <c r="O29" s="18" t="n">
        <v>15</v>
      </c>
      <c r="P29" s="19" t="n">
        <v>1</v>
      </c>
      <c r="Q29" s="23" t="inlineStr">
        <is>
          <t>—</t>
        </is>
      </c>
      <c r="R29" s="39" t="inlineStr">
        <is>
          <t>—</t>
        </is>
      </c>
      <c r="S29" s="43" t="inlineStr">
        <is>
          <t>—</t>
        </is>
      </c>
      <c r="T29" s="43" t="inlineStr">
        <is>
          <t>—</t>
        </is>
      </c>
      <c r="U29" s="39" t="inlineStr">
        <is>
          <t>—</t>
        </is>
      </c>
      <c r="V29" s="43" t="inlineStr">
        <is>
          <t>—</t>
        </is>
      </c>
      <c r="W29" s="23" t="inlineStr">
        <is>
          <t>—</t>
        </is>
      </c>
      <c r="X29" s="8" t="inlineStr">
        <is>
          <t>Tek Hat Atamalı</t>
        </is>
      </c>
    </row>
    <row r="30" ht="20" customHeight="1">
      <c r="A30" s="24" t="inlineStr">
        <is>
          <t>KT102-219x26-KAH</t>
        </is>
      </c>
      <c r="B30" s="25" t="inlineStr">
        <is>
          <t>Deck / WPC Zemin</t>
        </is>
      </c>
      <c r="C30" s="9" t="inlineStr">
        <is>
          <t>3.00 Metre</t>
        </is>
      </c>
      <c r="D30" s="25" t="inlineStr">
        <is>
          <t>219 x 26 mm</t>
        </is>
      </c>
      <c r="E30" s="26" t="n">
        <v>9.26</v>
      </c>
      <c r="F30" s="27" t="n">
        <v>463</v>
      </c>
      <c r="G30" s="28" t="inlineStr">
        <is>
          <t>Hat 107</t>
        </is>
      </c>
      <c r="H30" s="40" t="inlineStr">
        <is>
          <t>Tek Göz (1 Kafa)</t>
        </is>
      </c>
      <c r="I30" s="29" t="n">
        <v>4</v>
      </c>
      <c r="J30" s="30" t="n">
        <v>1</v>
      </c>
      <c r="K30" s="31" t="n">
        <v>115.8</v>
      </c>
      <c r="L30" s="32" t="n">
        <v>12</v>
      </c>
      <c r="M30" s="27" t="n">
        <v>2779.2</v>
      </c>
      <c r="N30" s="29" t="n">
        <v>115.8</v>
      </c>
      <c r="O30" s="33" t="n">
        <v>12</v>
      </c>
      <c r="P30" s="34" t="n">
        <v>1</v>
      </c>
      <c r="Q30" s="38" t="inlineStr">
        <is>
          <t>—</t>
        </is>
      </c>
      <c r="R30" s="40" t="inlineStr">
        <is>
          <t>—</t>
        </is>
      </c>
      <c r="S30" s="44" t="inlineStr">
        <is>
          <t>—</t>
        </is>
      </c>
      <c r="T30" s="44" t="inlineStr">
        <is>
          <t>—</t>
        </is>
      </c>
      <c r="U30" s="40" t="inlineStr">
        <is>
          <t>—</t>
        </is>
      </c>
      <c r="V30" s="44" t="inlineStr">
        <is>
          <t>—</t>
        </is>
      </c>
      <c r="W30" s="38" t="inlineStr">
        <is>
          <t>—</t>
        </is>
      </c>
      <c r="X30" s="25" t="inlineStr">
        <is>
          <t>Tek Hat Atamalı</t>
        </is>
      </c>
    </row>
    <row r="31" ht="24" customHeight="1">
      <c r="A31" s="49" t="inlineStr">
        <is>
          <t>GENEL TOPLAM (FİLTREYE DUYARLI)</t>
        </is>
      </c>
      <c r="B31" s="50" t="n"/>
      <c r="C31" s="50" t="n"/>
      <c r="D31" s="50" t="n"/>
      <c r="E31" s="50" t="n"/>
      <c r="F31" s="51">
        <f>SUBTOTAL(109, F5:F30)</f>
        <v/>
      </c>
      <c r="G31" s="50" t="n"/>
      <c r="H31" s="50" t="n"/>
      <c r="I31" s="52">
        <f>SUBTOTAL(109, I5:I30)</f>
        <v/>
      </c>
      <c r="J31" s="51">
        <f>SUBTOTAL(109, J5:J30)</f>
        <v/>
      </c>
      <c r="K31" s="50" t="n"/>
      <c r="L31" s="50" t="n"/>
      <c r="M31" s="51">
        <f>SUBTOTAL(109, M5:M30)</f>
        <v/>
      </c>
      <c r="N31" s="50" t="n"/>
      <c r="O31" s="50" t="n"/>
      <c r="P31" s="50" t="n"/>
      <c r="Q31" s="50" t="n"/>
      <c r="R31" s="50" t="n"/>
      <c r="S31" s="52">
        <f>SUBTOTAL(109, S5:S30)</f>
        <v/>
      </c>
      <c r="T31" s="50" t="n"/>
      <c r="U31" s="50" t="n"/>
      <c r="V31" s="50" t="n"/>
      <c r="W31" s="50" t="n"/>
      <c r="X31" s="50" t="n"/>
    </row>
  </sheetData>
  <autoFilter ref="A4:X30"/>
  <mergeCells count="7">
    <mergeCell ref="W3"/>
    <mergeCell ref="X3"/>
    <mergeCell ref="A2:X2"/>
    <mergeCell ref="G3:P3"/>
    <mergeCell ref="A1:X1"/>
    <mergeCell ref="A3:F3"/>
    <mergeCell ref="Q3:V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1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8" customWidth="1" min="1" max="1"/>
    <col width="24" customWidth="1" min="2" max="2"/>
    <col width="18" customWidth="1" min="3" max="3"/>
    <col width="20" customWidth="1" min="4" max="4"/>
    <col width="18" customWidth="1" min="5" max="5"/>
    <col width="22" customWidth="1" min="6" max="6"/>
    <col width="22" customWidth="1" min="7" max="7"/>
    <col width="20" customWidth="1" min="8" max="8"/>
    <col width="22" customWidth="1" min="9" max="9"/>
    <col width="38" customWidth="1" min="10" max="10"/>
    <col width="18" customWidth="1" min="11" max="11"/>
  </cols>
  <sheetData>
    <row r="1" ht="36" customHeight="1">
      <c r="A1" s="1" t="inlineStr">
        <is>
          <t>ERGUNBAS GROUP — MAKİNE &amp; HATLARIN TOPLAM ÇALIŞMA SAATLERİ VE KAPASİTE PERFORMANSI</t>
        </is>
      </c>
    </row>
    <row r="2" ht="20" customHeight="1">
      <c r="A2" s="2" t="inlineStr">
        <is>
          <t>Son 70 günde 10 ana ekstrüzyon hattının fiili çalışma saatleri, net tonajları ve kalıp çıkış kabiliyetleri</t>
        </is>
      </c>
    </row>
    <row r="3" ht="26" customHeight="1">
      <c r="A3" s="6" t="inlineStr">
        <is>
          <t>Makine / Hat Kodu</t>
        </is>
      </c>
      <c r="B3" s="6" t="inlineStr">
        <is>
          <t>Makine Adı &amp; Tipi</t>
        </is>
      </c>
      <c r="C3" s="6" t="inlineStr">
        <is>
          <t>Bölüm / İstasyon</t>
        </is>
      </c>
      <c r="D3" s="6" t="inlineStr">
        <is>
          <t>Toplam Çalışma (Saat)</t>
        </is>
      </c>
      <c r="E3" s="6" t="inlineStr">
        <is>
          <t>Tamamlanan Vardiya</t>
        </is>
      </c>
      <c r="F3" s="6" t="inlineStr">
        <is>
          <t>Toplam Net Üretim (kg)</t>
        </is>
      </c>
      <c r="G3" s="6" t="inlineStr">
        <is>
          <t>Ortalama Fiili Hız (kg/sa)</t>
        </is>
      </c>
      <c r="H3" s="6" t="inlineStr">
        <is>
          <t>Aktif Üretilen Çeşit</t>
        </is>
      </c>
      <c r="I3" s="6" t="inlineStr">
        <is>
          <t>Kalıp Çıkış Kabiliyeti</t>
        </is>
      </c>
      <c r="J3" s="6" t="inlineStr">
        <is>
          <t>Üretilen Başlıca Ürünler</t>
        </is>
      </c>
      <c r="K3" s="6" t="inlineStr">
        <is>
          <t>Hat Çalışma Durumu</t>
        </is>
      </c>
    </row>
    <row r="4" ht="20" customHeight="1">
      <c r="A4" s="53" t="inlineStr">
        <is>
          <t>Hat 101</t>
        </is>
      </c>
      <c r="B4" s="25" t="inlineStr">
        <is>
          <t>Pervaz Ekstrüder 1</t>
        </is>
      </c>
      <c r="C4" s="25" t="inlineStr">
        <is>
          <t>Profil Ekstrüzyon</t>
        </is>
      </c>
      <c r="D4" s="29" t="n">
        <v>744.5</v>
      </c>
      <c r="E4" s="30" t="n">
        <v>70</v>
      </c>
      <c r="F4" s="27" t="n">
        <v>33805</v>
      </c>
      <c r="G4" s="31" t="n">
        <v>45.4</v>
      </c>
      <c r="H4" s="54" t="n">
        <v>4</v>
      </c>
      <c r="I4" s="28" t="inlineStr">
        <is>
          <t>Tek Göz (1 Kafa)</t>
        </is>
      </c>
      <c r="J4" s="25" t="inlineStr">
        <is>
          <t>Pervazlar (35x100, 35x150, 80x80)</t>
        </is>
      </c>
      <c r="K4" s="28" t="inlineStr">
        <is>
          <t>Aktif Üretimde</t>
        </is>
      </c>
    </row>
    <row r="5" ht="20" customHeight="1">
      <c r="A5" s="55" t="inlineStr">
        <is>
          <t>Hat 102</t>
        </is>
      </c>
      <c r="B5" s="8" t="inlineStr">
        <is>
          <t>Kasa &amp; Profil Ekstrüder 2</t>
        </is>
      </c>
      <c r="C5" s="8" t="inlineStr">
        <is>
          <t>Profil Ekstrüzyon</t>
        </is>
      </c>
      <c r="D5" s="14" t="n">
        <v>1603.1</v>
      </c>
      <c r="E5" s="15" t="n">
        <v>145</v>
      </c>
      <c r="F5" s="11" t="n">
        <v>97353</v>
      </c>
      <c r="G5" s="16" t="n">
        <v>60.7</v>
      </c>
      <c r="H5" s="56" t="n">
        <v>4</v>
      </c>
      <c r="I5" s="12" t="inlineStr">
        <is>
          <t>Tek Göz (1 Kafa)</t>
        </is>
      </c>
      <c r="J5" s="8" t="inlineStr">
        <is>
          <t>100 mm Kasa, Cam Çıtası, U Kapama</t>
        </is>
      </c>
      <c r="K5" s="12" t="inlineStr">
        <is>
          <t>Aktif Üretimde</t>
        </is>
      </c>
    </row>
    <row r="6" ht="20" customHeight="1">
      <c r="A6" s="53" t="inlineStr">
        <is>
          <t>Hat 103</t>
        </is>
      </c>
      <c r="B6" s="25" t="inlineStr">
        <is>
          <t>Pervaz &amp; Seren Ekstrüder 3</t>
        </is>
      </c>
      <c r="C6" s="25" t="inlineStr">
        <is>
          <t>Profil Ekstrüzyon</t>
        </is>
      </c>
      <c r="D6" s="29" t="n">
        <v>1481</v>
      </c>
      <c r="E6" s="30" t="n">
        <v>134</v>
      </c>
      <c r="F6" s="27" t="n">
        <v>77366</v>
      </c>
      <c r="G6" s="31" t="n">
        <v>52.2</v>
      </c>
      <c r="H6" s="54" t="n">
        <v>2</v>
      </c>
      <c r="I6" s="28" t="inlineStr">
        <is>
          <t>Tek Göz &amp; Çift Göz (2 Kafa)</t>
        </is>
      </c>
      <c r="J6" s="25" t="inlineStr">
        <is>
          <t>50x80 Pervaz (Çift Göz), Seren</t>
        </is>
      </c>
      <c r="K6" s="28" t="inlineStr">
        <is>
          <t>Aktif Üretimde</t>
        </is>
      </c>
    </row>
    <row r="7" ht="20" customHeight="1">
      <c r="A7" s="55" t="inlineStr">
        <is>
          <t>Hat 104</t>
        </is>
      </c>
      <c r="B7" s="8" t="inlineStr">
        <is>
          <t>Yüksek Hızlı Seren Ekstrüder 4</t>
        </is>
      </c>
      <c r="C7" s="8" t="inlineStr">
        <is>
          <t>Profil Ekstrüzyon</t>
        </is>
      </c>
      <c r="D7" s="14" t="n">
        <v>1670.4</v>
      </c>
      <c r="E7" s="15" t="n">
        <v>150</v>
      </c>
      <c r="F7" s="11" t="n">
        <v>160791.32</v>
      </c>
      <c r="G7" s="16" t="n">
        <v>96.3</v>
      </c>
      <c r="H7" s="56" t="n">
        <v>1</v>
      </c>
      <c r="I7" s="12" t="inlineStr">
        <is>
          <t>Tek Göz &amp; Çift Göz (2 Kafa)</t>
        </is>
      </c>
      <c r="J7" s="8" t="inlineStr">
        <is>
          <t>Masif Kapı Sereni (Çift Göz Ağırlıklı)</t>
        </is>
      </c>
      <c r="K7" s="12" t="inlineStr">
        <is>
          <t>Aktif Üretimde</t>
        </is>
      </c>
    </row>
    <row r="8" ht="20" customHeight="1">
      <c r="A8" s="53" t="inlineStr">
        <is>
          <t>Hat 105</t>
        </is>
      </c>
      <c r="B8" s="25" t="inlineStr">
        <is>
          <t>Yüksek Hızlı Seren Ekstrüder 5</t>
        </is>
      </c>
      <c r="C8" s="25" t="inlineStr">
        <is>
          <t>Profil Ekstrüzyon</t>
        </is>
      </c>
      <c r="D8" s="29" t="n">
        <v>1536.5</v>
      </c>
      <c r="E8" s="30" t="n">
        <v>138</v>
      </c>
      <c r="F8" s="27" t="n">
        <v>139489.47</v>
      </c>
      <c r="G8" s="31" t="n">
        <v>90.8</v>
      </c>
      <c r="H8" s="54" t="n">
        <v>2</v>
      </c>
      <c r="I8" s="28" t="inlineStr">
        <is>
          <t>Tek Göz &amp; Çift Göz (2 Kafa)</t>
        </is>
      </c>
      <c r="J8" s="25" t="inlineStr">
        <is>
          <t>Masif Kapı Sereni (Çift Göz Ağırlıklı)</t>
        </is>
      </c>
      <c r="K8" s="28" t="inlineStr">
        <is>
          <t>Aktif Üretimde</t>
        </is>
      </c>
    </row>
    <row r="9" ht="20" customHeight="1">
      <c r="A9" s="55" t="inlineStr">
        <is>
          <t>Hat 106</t>
        </is>
      </c>
      <c r="B9" s="8" t="inlineStr">
        <is>
          <t>Kasa Ekstrüder 6</t>
        </is>
      </c>
      <c r="C9" s="8" t="inlineStr">
        <is>
          <t>Profil Ekstrüzyon</t>
        </is>
      </c>
      <c r="D9" s="14" t="n">
        <v>1669.3</v>
      </c>
      <c r="E9" s="15" t="n">
        <v>149</v>
      </c>
      <c r="F9" s="11" t="n">
        <v>120006</v>
      </c>
      <c r="G9" s="16" t="n">
        <v>71.90000000000001</v>
      </c>
      <c r="H9" s="56" t="n">
        <v>3</v>
      </c>
      <c r="I9" s="12" t="inlineStr">
        <is>
          <t>Tek Göz (1 Kafa)</t>
        </is>
      </c>
      <c r="J9" s="8" t="inlineStr">
        <is>
          <t>140 mm Kasa, 200 mm Kasa</t>
        </is>
      </c>
      <c r="K9" s="12" t="inlineStr">
        <is>
          <t>Aktif Üretimde</t>
        </is>
      </c>
    </row>
    <row r="10" ht="20" customHeight="1">
      <c r="A10" s="53" t="inlineStr">
        <is>
          <t>Hat 107</t>
        </is>
      </c>
      <c r="B10" s="25" t="inlineStr">
        <is>
          <t>Geniş Kasa &amp; Deck Ekstrüder 7</t>
        </is>
      </c>
      <c r="C10" s="25" t="inlineStr">
        <is>
          <t>Profil Ekstrüzyon</t>
        </is>
      </c>
      <c r="D10" s="29" t="n">
        <v>1617.7</v>
      </c>
      <c r="E10" s="30" t="n">
        <v>157</v>
      </c>
      <c r="F10" s="27" t="n">
        <v>145041</v>
      </c>
      <c r="G10" s="31" t="n">
        <v>89.7</v>
      </c>
      <c r="H10" s="54" t="n">
        <v>8</v>
      </c>
      <c r="I10" s="28" t="inlineStr">
        <is>
          <t>Tek Göz (1 Kafa)</t>
        </is>
      </c>
      <c r="J10" s="25" t="inlineStr">
        <is>
          <t>200 mm Kasa, Zemin Deck (KT100/102)</t>
        </is>
      </c>
      <c r="K10" s="28" t="inlineStr">
        <is>
          <t>Aktif Üretimde</t>
        </is>
      </c>
    </row>
    <row r="11" ht="20" customHeight="1">
      <c r="A11" s="55" t="inlineStr">
        <is>
          <t>Hat 108</t>
        </is>
      </c>
      <c r="B11" s="8" t="inlineStr">
        <is>
          <t>Kasa Ekstrüder 8</t>
        </is>
      </c>
      <c r="C11" s="8" t="inlineStr">
        <is>
          <t>Profil Ekstrüzyon</t>
        </is>
      </c>
      <c r="D11" s="14" t="n">
        <v>1597.2</v>
      </c>
      <c r="E11" s="15" t="n">
        <v>146</v>
      </c>
      <c r="F11" s="11" t="n">
        <v>105875.8</v>
      </c>
      <c r="G11" s="16" t="n">
        <v>66.3</v>
      </c>
      <c r="H11" s="56" t="n">
        <v>3</v>
      </c>
      <c r="I11" s="12" t="inlineStr">
        <is>
          <t>Tek Göz (1 Kafa)</t>
        </is>
      </c>
      <c r="J11" s="8" t="inlineStr">
        <is>
          <t>100 mm &amp; 140 mm Kasa</t>
        </is>
      </c>
      <c r="K11" s="12" t="inlineStr">
        <is>
          <t>Aktif Üretimde</t>
        </is>
      </c>
    </row>
    <row r="12" ht="20" customHeight="1">
      <c r="A12" s="53" t="inlineStr">
        <is>
          <t>Hat 109</t>
        </is>
      </c>
      <c r="B12" s="25" t="inlineStr">
        <is>
          <t>Yüksek Hızlı Pervaz Ekstrüder 9</t>
        </is>
      </c>
      <c r="C12" s="25" t="inlineStr">
        <is>
          <t>Profil Ekstrüzyon</t>
        </is>
      </c>
      <c r="D12" s="29" t="n">
        <v>1598.2</v>
      </c>
      <c r="E12" s="30" t="n">
        <v>155</v>
      </c>
      <c r="F12" s="27" t="n">
        <v>116876.31</v>
      </c>
      <c r="G12" s="31" t="n">
        <v>73.09999999999999</v>
      </c>
      <c r="H12" s="54" t="n">
        <v>2</v>
      </c>
      <c r="I12" s="28" t="inlineStr">
        <is>
          <t>Tek Göz &amp; Çift Göz (2 Kafa)</t>
        </is>
      </c>
      <c r="J12" s="25" t="inlineStr">
        <is>
          <t>50x80 Pervaz (Çift Göz), 80x80 Pervaz</t>
        </is>
      </c>
      <c r="K12" s="28" t="inlineStr">
        <is>
          <t>Aktif Üretimde</t>
        </is>
      </c>
    </row>
    <row r="13" ht="20" customHeight="1">
      <c r="A13" s="55" t="inlineStr">
        <is>
          <t>Hat 201</t>
        </is>
      </c>
      <c r="B13" s="8" t="inlineStr">
        <is>
          <t>WPC Levha Makinesi 1</t>
        </is>
      </c>
      <c r="C13" s="8" t="inlineStr">
        <is>
          <t>Levha Ekstrüzyon</t>
        </is>
      </c>
      <c r="D13" s="14" t="n">
        <v>1562.4</v>
      </c>
      <c r="E13" s="15" t="n">
        <v>253</v>
      </c>
      <c r="F13" s="11" t="n">
        <v>283404.8800000001</v>
      </c>
      <c r="G13" s="16" t="n">
        <v>181.4</v>
      </c>
      <c r="H13" s="56" t="n">
        <v>11</v>
      </c>
      <c r="I13" s="12" t="inlineStr">
        <is>
          <t>Levha Kalıbı (Tek Kafa)</t>
        </is>
      </c>
      <c r="J13" s="8" t="inlineStr">
        <is>
          <t>WPC Kapı Yüzey Levhaları (Tüm Renkler)</t>
        </is>
      </c>
      <c r="K13" s="12" t="inlineStr">
        <is>
          <t>Aktif Üretimde</t>
        </is>
      </c>
    </row>
    <row r="14" ht="24" customHeight="1">
      <c r="A14" s="57" t="inlineStr">
        <is>
          <t>GENEL TOPLAM (FİLTREYE DUYARLI)</t>
        </is>
      </c>
      <c r="B14" s="50" t="n"/>
      <c r="C14" s="50" t="n"/>
      <c r="D14" s="52">
        <f>SUBTOTAL(109, D4:D13)</f>
        <v/>
      </c>
      <c r="E14" s="51">
        <f>SUBTOTAL(109, E4:E13)</f>
        <v/>
      </c>
      <c r="F14" s="51">
        <f>SUBTOTAL(109, F4:F13)</f>
        <v/>
      </c>
      <c r="G14" s="52">
        <f>IF(SUBTOTAL(109, D4:D13)&gt;0, SUBTOTAL(109, F4:F13)/SUBTOTAL(109, D4:D13), 0)</f>
        <v/>
      </c>
      <c r="H14" s="50" t="n"/>
      <c r="I14" s="50" t="n"/>
      <c r="J14" s="50" t="n"/>
      <c r="K14" s="50" t="n"/>
    </row>
  </sheetData>
  <autoFilter ref="A3:K13"/>
  <mergeCells count="2">
    <mergeCell ref="A2:K2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showGridLines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24" customWidth="1" min="1" max="1"/>
    <col width="16" customWidth="1" min="2" max="2"/>
    <col width="22" customWidth="1" min="3" max="3"/>
    <col width="18" customWidth="1" min="4" max="4"/>
    <col width="14" customWidth="1" min="5" max="5"/>
    <col width="18" customWidth="1" min="6" max="6"/>
    <col width="15" customWidth="1" min="7" max="7"/>
    <col width="17" customWidth="1" min="8" max="8"/>
    <col width="14" customWidth="1" min="9" max="9"/>
    <col width="18" customWidth="1" min="10" max="10"/>
    <col width="14" customWidth="1" min="11" max="11"/>
    <col width="17" customWidth="1" min="12" max="12"/>
    <col width="15" customWidth="1" min="13" max="13"/>
    <col width="24" customWidth="1" min="14" max="14"/>
    <col width="15" customWidth="1" min="15" max="15"/>
  </cols>
  <sheetData>
    <row r="1" ht="36" customHeight="1">
      <c r="A1" s="1" t="inlineStr">
        <is>
          <t>ERGUNBAS GROUP — ÜRÜN BAZINDA HAT ÜRETİM DAĞILIMI, KALIP GÖZLERİ VE KAPASİTE PERFORMANSI</t>
        </is>
      </c>
    </row>
    <row r="2" ht="20" customHeight="1">
      <c r="A2" s="2" t="inlineStr">
        <is>
          <t>Her bir ürünün çalıştığı makineler, kalıp göz sayıları (Tek Göz / Çift Göz), kesim boyları, çekilen boy adetleri ve hızları</t>
        </is>
      </c>
    </row>
    <row r="3" ht="26" customHeight="1">
      <c r="A3" s="6" t="inlineStr">
        <is>
          <t>Ürün Adı</t>
        </is>
      </c>
      <c r="B3" s="6" t="inlineStr">
        <is>
          <t>Kategori</t>
        </is>
      </c>
      <c r="C3" s="6" t="inlineStr">
        <is>
          <t>Standart Boy (Uzunluk)</t>
        </is>
      </c>
      <c r="D3" s="6" t="inlineStr">
        <is>
          <t>Kesit Detayı</t>
        </is>
      </c>
      <c r="E3" s="6" t="inlineStr">
        <is>
          <t>Çalışılan Hat</t>
        </is>
      </c>
      <c r="F3" s="6" t="inlineStr">
        <is>
          <t>Kalıp Çıkışı (Göz)</t>
        </is>
      </c>
      <c r="G3" s="6" t="inlineStr">
        <is>
          <t>Rota Sınıfı</t>
        </is>
      </c>
      <c r="H3" s="6" t="inlineStr">
        <is>
          <t>Fiili Çalışma (Saat)</t>
        </is>
      </c>
      <c r="I3" s="6" t="inlineStr">
        <is>
          <t>Vardiya Sayısı</t>
        </is>
      </c>
      <c r="J3" s="6" t="inlineStr">
        <is>
          <t>Üretilen Miktar (Adet/Boy)</t>
        </is>
      </c>
      <c r="K3" s="6" t="inlineStr">
        <is>
          <t>Birim Ağırlık</t>
        </is>
      </c>
      <c r="L3" s="6" t="inlineStr">
        <is>
          <t>Toplam Üretim (kg)</t>
        </is>
      </c>
      <c r="M3" s="6" t="inlineStr">
        <is>
          <t>Fiili Hız (kg/sa)</t>
        </is>
      </c>
      <c r="N3" s="6" t="inlineStr">
        <is>
          <t>Fiili Hız (Saatte ~X Boy/Plaka)</t>
        </is>
      </c>
      <c r="O3" s="6" t="inlineStr">
        <is>
          <t>Kapasite Payı (%)</t>
        </is>
      </c>
    </row>
    <row r="4" ht="20" customHeight="1">
      <c r="A4" s="24" t="inlineStr">
        <is>
          <t>SEREN</t>
        </is>
      </c>
      <c r="B4" s="25" t="inlineStr">
        <is>
          <t>Seren Çıtası</t>
        </is>
      </c>
      <c r="C4" s="9" t="inlineStr">
        <is>
          <t>2.10 Metre</t>
        </is>
      </c>
      <c r="D4" s="25" t="inlineStr">
        <is>
          <t>38 x 45 mm</t>
        </is>
      </c>
      <c r="E4" s="53" t="inlineStr">
        <is>
          <t>Hat 104</t>
        </is>
      </c>
      <c r="F4" s="13" t="inlineStr">
        <is>
          <t>Çift Göz (2 Kafa)</t>
        </is>
      </c>
      <c r="G4" s="28" t="inlineStr">
        <is>
          <t>ANA ROTA</t>
        </is>
      </c>
      <c r="H4" s="29" t="n">
        <v>1670.4</v>
      </c>
      <c r="I4" s="30" t="n">
        <v>150</v>
      </c>
      <c r="J4" s="30" t="n">
        <v>47142</v>
      </c>
      <c r="K4" s="26" t="n">
        <v>3.39</v>
      </c>
      <c r="L4" s="27" t="n">
        <v>160791.32</v>
      </c>
      <c r="M4" s="31" t="n">
        <v>96.3</v>
      </c>
      <c r="N4" s="32" t="n">
        <v>28</v>
      </c>
      <c r="O4" s="58" t="n">
        <v>0.5292638993338387</v>
      </c>
    </row>
    <row r="5" ht="20" customHeight="1">
      <c r="A5" s="7" t="inlineStr">
        <is>
          <t>SEREN</t>
        </is>
      </c>
      <c r="B5" s="8" t="inlineStr">
        <is>
          <t>Seren Çıtası</t>
        </is>
      </c>
      <c r="C5" s="9" t="inlineStr">
        <is>
          <t>2.10 Metre</t>
        </is>
      </c>
      <c r="D5" s="8" t="inlineStr">
        <is>
          <t>38 x 45 mm</t>
        </is>
      </c>
      <c r="E5" s="55" t="inlineStr">
        <is>
          <t>Hat 105</t>
        </is>
      </c>
      <c r="F5" s="13" t="inlineStr">
        <is>
          <t>Çift Göz (2 Kafa)</t>
        </is>
      </c>
      <c r="G5" s="20" t="inlineStr">
        <is>
          <t>YEDEK ROTA 1</t>
        </is>
      </c>
      <c r="H5" s="14" t="n">
        <v>1524.5</v>
      </c>
      <c r="I5" s="15" t="n">
        <v>137</v>
      </c>
      <c r="J5" s="15" t="n">
        <v>40679</v>
      </c>
      <c r="K5" s="10" t="n">
        <v>3.39</v>
      </c>
      <c r="L5" s="11" t="n">
        <v>138773.47</v>
      </c>
      <c r="M5" s="16" t="n">
        <v>91</v>
      </c>
      <c r="N5" s="17" t="n">
        <v>27</v>
      </c>
      <c r="O5" s="59" t="n">
        <v>0.456789507395595</v>
      </c>
    </row>
    <row r="6" ht="20" customHeight="1">
      <c r="A6" s="24" t="inlineStr">
        <is>
          <t>DİŞBUDAK Levha</t>
        </is>
      </c>
      <c r="B6" s="25" t="inlineStr">
        <is>
          <t>WPC Levha Plaka</t>
        </is>
      </c>
      <c r="C6" s="9" t="inlineStr">
        <is>
          <t>207 cm (2.07 m)</t>
        </is>
      </c>
      <c r="D6" s="25" t="inlineStr">
        <is>
          <t>En: 94 cm (2 mm)</t>
        </is>
      </c>
      <c r="E6" s="53" t="inlineStr">
        <is>
          <t>Hat 201</t>
        </is>
      </c>
      <c r="F6" s="40" t="inlineStr">
        <is>
          <t>Tek Göz (1 Kafa)</t>
        </is>
      </c>
      <c r="G6" s="28" t="inlineStr">
        <is>
          <t>ANA ROTA</t>
        </is>
      </c>
      <c r="H6" s="29" t="n">
        <v>632.6096835790281</v>
      </c>
      <c r="I6" s="30" t="n">
        <v>85</v>
      </c>
      <c r="J6" s="30" t="n">
        <v>26294</v>
      </c>
      <c r="K6" s="26" t="n">
        <v>4.77</v>
      </c>
      <c r="L6" s="27" t="n">
        <v>125422.38</v>
      </c>
      <c r="M6" s="31" t="n">
        <v>198.3</v>
      </c>
      <c r="N6" s="45" t="n">
        <v>42</v>
      </c>
      <c r="O6" s="58" t="n">
        <v>1</v>
      </c>
    </row>
    <row r="7" ht="20" customHeight="1">
      <c r="A7" s="7" t="inlineStr">
        <is>
          <t>140 mm KASA</t>
        </is>
      </c>
      <c r="B7" s="8" t="inlineStr">
        <is>
          <t>Kasa Profili</t>
        </is>
      </c>
      <c r="C7" s="9" t="inlineStr">
        <is>
          <t>2.15 Metre (215 cm)</t>
        </is>
      </c>
      <c r="D7" s="8" t="inlineStr">
        <is>
          <t>140 x 36 mm</t>
        </is>
      </c>
      <c r="E7" s="55" t="inlineStr">
        <is>
          <t>Hat 106</t>
        </is>
      </c>
      <c r="F7" s="39" t="inlineStr">
        <is>
          <t>Tek Göz (1 Kafa)</t>
        </is>
      </c>
      <c r="G7" s="12" t="inlineStr">
        <is>
          <t>ANA ROTA</t>
        </is>
      </c>
      <c r="H7" s="14" t="n">
        <v>1633.3</v>
      </c>
      <c r="I7" s="15" t="n">
        <v>146</v>
      </c>
      <c r="J7" s="15" t="n">
        <v>22822</v>
      </c>
      <c r="K7" s="10" t="n">
        <v>4.95</v>
      </c>
      <c r="L7" s="11" t="n">
        <v>116744</v>
      </c>
      <c r="M7" s="16" t="n">
        <v>71.5</v>
      </c>
      <c r="N7" s="17" t="n">
        <v>14</v>
      </c>
      <c r="O7" s="59" t="n">
        <v>0.6581724697817066</v>
      </c>
    </row>
    <row r="8" ht="20" customHeight="1">
      <c r="A8" s="24" t="inlineStr">
        <is>
          <t>50X80 PERVAZ</t>
        </is>
      </c>
      <c r="B8" s="25" t="inlineStr">
        <is>
          <t>Pervaz Profili</t>
        </is>
      </c>
      <c r="C8" s="9" t="inlineStr">
        <is>
          <t>2.20 Metre</t>
        </is>
      </c>
      <c r="D8" s="25" t="inlineStr">
        <is>
          <t>50 x 80 mm</t>
        </is>
      </c>
      <c r="E8" s="53" t="inlineStr">
        <is>
          <t>Hat 109</t>
        </is>
      </c>
      <c r="F8" s="13" t="inlineStr">
        <is>
          <t>Çift Göz (2 Kafa)</t>
        </is>
      </c>
      <c r="G8" s="28" t="inlineStr">
        <is>
          <t>ANA ROTA</t>
        </is>
      </c>
      <c r="H8" s="29" t="n">
        <v>1586.2</v>
      </c>
      <c r="I8" s="30" t="n">
        <v>154</v>
      </c>
      <c r="J8" s="30" t="n">
        <v>77316</v>
      </c>
      <c r="K8" s="26" t="n">
        <v>1.55</v>
      </c>
      <c r="L8" s="27" t="n">
        <v>115855.31</v>
      </c>
      <c r="M8" s="31" t="n">
        <v>73</v>
      </c>
      <c r="N8" s="32" t="n">
        <v>49</v>
      </c>
      <c r="O8" s="58" t="n">
        <v>0.6019667537335166</v>
      </c>
    </row>
    <row r="9" ht="20" customHeight="1">
      <c r="A9" s="7" t="inlineStr">
        <is>
          <t>200 mm KASA</t>
        </is>
      </c>
      <c r="B9" s="8" t="inlineStr">
        <is>
          <t>Kasa Profili</t>
        </is>
      </c>
      <c r="C9" s="9" t="inlineStr">
        <is>
          <t>2.15 Metre (215 cm)</t>
        </is>
      </c>
      <c r="D9" s="8" t="inlineStr">
        <is>
          <t>200 x 36 mm</t>
        </is>
      </c>
      <c r="E9" s="55" t="inlineStr">
        <is>
          <t>Hat 107</t>
        </is>
      </c>
      <c r="F9" s="39" t="inlineStr">
        <is>
          <t>Tek Göz (1 Kafa)</t>
        </is>
      </c>
      <c r="G9" s="12" t="inlineStr">
        <is>
          <t>ANA ROTA</t>
        </is>
      </c>
      <c r="H9" s="14" t="n">
        <v>910</v>
      </c>
      <c r="I9" s="15" t="n">
        <v>86</v>
      </c>
      <c r="J9" s="15" t="n">
        <v>11377</v>
      </c>
      <c r="K9" s="10" t="n">
        <v>6.66</v>
      </c>
      <c r="L9" s="11" t="n">
        <v>77027</v>
      </c>
      <c r="M9" s="16" t="n">
        <v>84.59999999999999</v>
      </c>
      <c r="N9" s="17" t="n">
        <v>13</v>
      </c>
      <c r="O9" s="59" t="n">
        <v>0.9470688044066297</v>
      </c>
    </row>
    <row r="10" ht="20" customHeight="1">
      <c r="A10" s="24" t="inlineStr">
        <is>
          <t>50X80 PERVAZ</t>
        </is>
      </c>
      <c r="B10" s="25" t="inlineStr">
        <is>
          <t>Pervaz Profili</t>
        </is>
      </c>
      <c r="C10" s="9" t="inlineStr">
        <is>
          <t>2.20 Metre</t>
        </is>
      </c>
      <c r="D10" s="25" t="inlineStr">
        <is>
          <t>50 x 80 mm</t>
        </is>
      </c>
      <c r="E10" s="53" t="inlineStr">
        <is>
          <t>Hat 103</t>
        </is>
      </c>
      <c r="F10" s="13" t="inlineStr">
        <is>
          <t>Çift Göz (2 Kafa)</t>
        </is>
      </c>
      <c r="G10" s="35" t="inlineStr">
        <is>
          <t>YEDEK ROTA 1</t>
        </is>
      </c>
      <c r="H10" s="29" t="n">
        <v>1469</v>
      </c>
      <c r="I10" s="30" t="n">
        <v>133</v>
      </c>
      <c r="J10" s="30" t="n">
        <v>46260</v>
      </c>
      <c r="K10" s="26" t="n">
        <v>1.55</v>
      </c>
      <c r="L10" s="27" t="n">
        <v>76606</v>
      </c>
      <c r="M10" s="31" t="n">
        <v>52.1</v>
      </c>
      <c r="N10" s="32" t="n">
        <v>31</v>
      </c>
      <c r="O10" s="58" t="n">
        <v>0.3980332462664834</v>
      </c>
    </row>
    <row r="11" ht="20" customHeight="1">
      <c r="A11" s="7" t="inlineStr">
        <is>
          <t>100 mm KASA</t>
        </is>
      </c>
      <c r="B11" s="8" t="inlineStr">
        <is>
          <t>Kasa Profili</t>
        </is>
      </c>
      <c r="C11" s="9" t="inlineStr">
        <is>
          <t>2.15 Metre (215 cm)</t>
        </is>
      </c>
      <c r="D11" s="8" t="inlineStr">
        <is>
          <t>100 x 36 mm</t>
        </is>
      </c>
      <c r="E11" s="55" t="inlineStr">
        <is>
          <t>Hat 102</t>
        </is>
      </c>
      <c r="F11" s="39" t="inlineStr">
        <is>
          <t>Tek Göz (1 Kafa)</t>
        </is>
      </c>
      <c r="G11" s="12" t="inlineStr">
        <is>
          <t>ANA ROTA</t>
        </is>
      </c>
      <c r="H11" s="14" t="n">
        <v>1074.1</v>
      </c>
      <c r="I11" s="15" t="n">
        <v>95</v>
      </c>
      <c r="J11" s="15" t="n">
        <v>16716</v>
      </c>
      <c r="K11" s="10" t="n">
        <v>4</v>
      </c>
      <c r="L11" s="11" t="n">
        <v>67941</v>
      </c>
      <c r="M11" s="16" t="n">
        <v>63.3</v>
      </c>
      <c r="N11" s="17" t="n">
        <v>16</v>
      </c>
      <c r="O11" s="59" t="n">
        <v>0.5010294772674311</v>
      </c>
    </row>
    <row r="12" ht="20" customHeight="1">
      <c r="A12" s="24" t="inlineStr">
        <is>
          <t>100 mm KASA</t>
        </is>
      </c>
      <c r="B12" s="25" t="inlineStr">
        <is>
          <t>Kasa Profili</t>
        </is>
      </c>
      <c r="C12" s="9" t="inlineStr">
        <is>
          <t>2.15 Metre (215 cm)</t>
        </is>
      </c>
      <c r="D12" s="25" t="inlineStr">
        <is>
          <t>100 x 36 mm</t>
        </is>
      </c>
      <c r="E12" s="53" t="inlineStr">
        <is>
          <t>Hat 108</t>
        </is>
      </c>
      <c r="F12" s="40" t="inlineStr">
        <is>
          <t>Tek Göz (1 Kafa)</t>
        </is>
      </c>
      <c r="G12" s="35" t="inlineStr">
        <is>
          <t>YEDEK ROTA 1</t>
        </is>
      </c>
      <c r="H12" s="29" t="n">
        <v>983</v>
      </c>
      <c r="I12" s="30" t="n">
        <v>91</v>
      </c>
      <c r="J12" s="30" t="n">
        <v>16968</v>
      </c>
      <c r="K12" s="26" t="n">
        <v>4</v>
      </c>
      <c r="L12" s="27" t="n">
        <v>65667.8</v>
      </c>
      <c r="M12" s="31" t="n">
        <v>66.8</v>
      </c>
      <c r="N12" s="32" t="n">
        <v>17</v>
      </c>
      <c r="O12" s="58" t="n">
        <v>0.4842658116204091</v>
      </c>
    </row>
    <row r="13" ht="20" customHeight="1">
      <c r="A13" s="7" t="inlineStr">
        <is>
          <t>TEAK Levha</t>
        </is>
      </c>
      <c r="B13" s="8" t="inlineStr">
        <is>
          <t>WPC Levha Plaka</t>
        </is>
      </c>
      <c r="C13" s="9" t="inlineStr">
        <is>
          <t>207 cm (2.07 m)</t>
        </is>
      </c>
      <c r="D13" s="8" t="inlineStr">
        <is>
          <t>En: 94 cm (2 mm)</t>
        </is>
      </c>
      <c r="E13" s="55" t="inlineStr">
        <is>
          <t>Hat 201</t>
        </is>
      </c>
      <c r="F13" s="39" t="inlineStr">
        <is>
          <t>Tek Göz (1 Kafa)</t>
        </is>
      </c>
      <c r="G13" s="12" t="inlineStr">
        <is>
          <t>ANA ROTA</t>
        </is>
      </c>
      <c r="H13" s="14" t="n">
        <v>235.1702808249805</v>
      </c>
      <c r="I13" s="15" t="n">
        <v>37</v>
      </c>
      <c r="J13" s="15" t="n">
        <v>9359</v>
      </c>
      <c r="K13" s="10" t="n">
        <v>4.25</v>
      </c>
      <c r="L13" s="11" t="n">
        <v>39775.75</v>
      </c>
      <c r="M13" s="16" t="n">
        <v>169.1</v>
      </c>
      <c r="N13" s="41" t="n">
        <v>40</v>
      </c>
      <c r="O13" s="59" t="n">
        <v>1</v>
      </c>
    </row>
    <row r="14" ht="20" customHeight="1">
      <c r="A14" s="24" t="inlineStr">
        <is>
          <t>140 mm KASA</t>
        </is>
      </c>
      <c r="B14" s="25" t="inlineStr">
        <is>
          <t>Kasa Profili</t>
        </is>
      </c>
      <c r="C14" s="9" t="inlineStr">
        <is>
          <t>2.15 Metre (215 cm)</t>
        </is>
      </c>
      <c r="D14" s="25" t="inlineStr">
        <is>
          <t>140 x 36 mm</t>
        </is>
      </c>
      <c r="E14" s="53" t="inlineStr">
        <is>
          <t>Hat 108</t>
        </is>
      </c>
      <c r="F14" s="40" t="inlineStr">
        <is>
          <t>Tek Göz (1 Kafa)</t>
        </is>
      </c>
      <c r="G14" s="35" t="inlineStr">
        <is>
          <t>YEDEK ROTA 1</t>
        </is>
      </c>
      <c r="H14" s="29" t="n">
        <v>590.2</v>
      </c>
      <c r="I14" s="30" t="n">
        <v>53</v>
      </c>
      <c r="J14" s="30" t="n">
        <v>8661</v>
      </c>
      <c r="K14" s="26" t="n">
        <v>4.95</v>
      </c>
      <c r="L14" s="27" t="n">
        <v>38324</v>
      </c>
      <c r="M14" s="31" t="n">
        <v>64.90000000000001</v>
      </c>
      <c r="N14" s="32" t="n">
        <v>15</v>
      </c>
      <c r="O14" s="58" t="n">
        <v>0.2160607974021288</v>
      </c>
    </row>
    <row r="15" ht="20" customHeight="1">
      <c r="A15" s="7" t="inlineStr">
        <is>
          <t>SEREN(39mm)</t>
        </is>
      </c>
      <c r="B15" s="8" t="inlineStr">
        <is>
          <t>Seren Çıtası</t>
        </is>
      </c>
      <c r="C15" s="9" t="inlineStr">
        <is>
          <t>2.10 Metre</t>
        </is>
      </c>
      <c r="D15" s="8" t="inlineStr">
        <is>
          <t>39 x 45 mm</t>
        </is>
      </c>
      <c r="E15" s="55" t="inlineStr">
        <is>
          <t>Hat 107</t>
        </is>
      </c>
      <c r="F15" s="39" t="inlineStr">
        <is>
          <t>Tek Göz (1 Kafa)</t>
        </is>
      </c>
      <c r="G15" s="12" t="inlineStr">
        <is>
          <t>ANA ROTA</t>
        </is>
      </c>
      <c r="H15" s="14" t="n">
        <v>327</v>
      </c>
      <c r="I15" s="15" t="n">
        <v>29</v>
      </c>
      <c r="J15" s="15" t="n">
        <v>9123</v>
      </c>
      <c r="K15" s="10" t="n">
        <v>3.81</v>
      </c>
      <c r="L15" s="11" t="n">
        <v>34458</v>
      </c>
      <c r="M15" s="16" t="n">
        <v>105.4</v>
      </c>
      <c r="N15" s="17" t="n">
        <v>28</v>
      </c>
      <c r="O15" s="59" t="n">
        <v>1</v>
      </c>
    </row>
    <row r="16" ht="20" customHeight="1">
      <c r="A16" s="24" t="inlineStr">
        <is>
          <t>MIX TEAK Levha</t>
        </is>
      </c>
      <c r="B16" s="25" t="inlineStr">
        <is>
          <t>WPC Levha Plaka</t>
        </is>
      </c>
      <c r="C16" s="9" t="inlineStr">
        <is>
          <t>207 cm (2.07 m)</t>
        </is>
      </c>
      <c r="D16" s="25" t="inlineStr">
        <is>
          <t>En: 94 cm (2 mm)</t>
        </is>
      </c>
      <c r="E16" s="53" t="inlineStr">
        <is>
          <t>Hat 201</t>
        </is>
      </c>
      <c r="F16" s="40" t="inlineStr">
        <is>
          <t>Tek Göz (1 Kafa)</t>
        </is>
      </c>
      <c r="G16" s="28" t="inlineStr">
        <is>
          <t>ANA ROTA</t>
        </is>
      </c>
      <c r="H16" s="29" t="n">
        <v>187.6562562708018</v>
      </c>
      <c r="I16" s="30" t="n">
        <v>31</v>
      </c>
      <c r="J16" s="30" t="n">
        <v>7675</v>
      </c>
      <c r="K16" s="26" t="n">
        <v>4.25</v>
      </c>
      <c r="L16" s="27" t="n">
        <v>32618.75</v>
      </c>
      <c r="M16" s="31" t="n">
        <v>173.8</v>
      </c>
      <c r="N16" s="45" t="n">
        <v>41</v>
      </c>
      <c r="O16" s="58" t="n">
        <v>1</v>
      </c>
    </row>
    <row r="17" ht="20" customHeight="1">
      <c r="A17" s="7" t="inlineStr">
        <is>
          <t>BEYAZ TEAK Levha</t>
        </is>
      </c>
      <c r="B17" s="8" t="inlineStr">
        <is>
          <t>WPC Levha Plaka</t>
        </is>
      </c>
      <c r="C17" s="9" t="inlineStr">
        <is>
          <t>207 cm (2.07 m)</t>
        </is>
      </c>
      <c r="D17" s="8" t="inlineStr">
        <is>
          <t>En: 94 cm (2 mm)</t>
        </is>
      </c>
      <c r="E17" s="55" t="inlineStr">
        <is>
          <t>Hat 201</t>
        </is>
      </c>
      <c r="F17" s="39" t="inlineStr">
        <is>
          <t>Tek Göz (1 Kafa)</t>
        </is>
      </c>
      <c r="G17" s="12" t="inlineStr">
        <is>
          <t>ANA ROTA</t>
        </is>
      </c>
      <c r="H17" s="14" t="n">
        <v>173.7487454529077</v>
      </c>
      <c r="I17" s="15" t="n">
        <v>30</v>
      </c>
      <c r="J17" s="15" t="n">
        <v>7270</v>
      </c>
      <c r="K17" s="10" t="n">
        <v>4.41</v>
      </c>
      <c r="L17" s="11" t="n">
        <v>32060.7</v>
      </c>
      <c r="M17" s="16" t="n">
        <v>184.5</v>
      </c>
      <c r="N17" s="41" t="n">
        <v>42</v>
      </c>
      <c r="O17" s="59" t="n">
        <v>1</v>
      </c>
    </row>
    <row r="18" ht="20" customHeight="1">
      <c r="A18" s="24" t="inlineStr">
        <is>
          <t>140 mm KASA</t>
        </is>
      </c>
      <c r="B18" s="25" t="inlineStr">
        <is>
          <t>Kasa Profili</t>
        </is>
      </c>
      <c r="C18" s="9" t="inlineStr">
        <is>
          <t>2.15 Metre (215 cm)</t>
        </is>
      </c>
      <c r="D18" s="25" t="inlineStr">
        <is>
          <t>140 x 36 mm</t>
        </is>
      </c>
      <c r="E18" s="53" t="inlineStr">
        <is>
          <t>Hat 102</t>
        </is>
      </c>
      <c r="F18" s="40" t="inlineStr">
        <is>
          <t>Tek Göz (1 Kafa)</t>
        </is>
      </c>
      <c r="G18" s="35" t="inlineStr">
        <is>
          <t>YEDEK ROTA 2</t>
        </is>
      </c>
      <c r="H18" s="29" t="n">
        <v>345</v>
      </c>
      <c r="I18" s="30" t="n">
        <v>32</v>
      </c>
      <c r="J18" s="30" t="n">
        <v>3677</v>
      </c>
      <c r="K18" s="26" t="n">
        <v>4.95</v>
      </c>
      <c r="L18" s="27" t="n">
        <v>20222</v>
      </c>
      <c r="M18" s="31" t="n">
        <v>58.6</v>
      </c>
      <c r="N18" s="32" t="n">
        <v>11</v>
      </c>
      <c r="O18" s="58" t="n">
        <v>0.1140064044741115</v>
      </c>
    </row>
    <row r="19" ht="20" customHeight="1">
      <c r="A19" s="7" t="inlineStr">
        <is>
          <t>VIZON Levha</t>
        </is>
      </c>
      <c r="B19" s="8" t="inlineStr">
        <is>
          <t>WPC Levha Plaka</t>
        </is>
      </c>
      <c r="C19" s="9" t="inlineStr">
        <is>
          <t>207 cm (2.07 m)</t>
        </is>
      </c>
      <c r="D19" s="8" t="inlineStr">
        <is>
          <t>En: 94 cm (2 mm)</t>
        </is>
      </c>
      <c r="E19" s="55" t="inlineStr">
        <is>
          <t>Hat 201</t>
        </is>
      </c>
      <c r="F19" s="39" t="inlineStr">
        <is>
          <t>Tek Göz (1 Kafa)</t>
        </is>
      </c>
      <c r="G19" s="12" t="inlineStr">
        <is>
          <t>ANA ROTA</t>
        </is>
      </c>
      <c r="H19" s="14" t="n">
        <v>114.2245721724266</v>
      </c>
      <c r="I19" s="15" t="n">
        <v>22</v>
      </c>
      <c r="J19" s="15" t="n">
        <v>3850</v>
      </c>
      <c r="K19" s="10" t="n">
        <v>4.77</v>
      </c>
      <c r="L19" s="11" t="n">
        <v>18364.5</v>
      </c>
      <c r="M19" s="16" t="n">
        <v>160.8</v>
      </c>
      <c r="N19" s="41" t="n">
        <v>34</v>
      </c>
      <c r="O19" s="59" t="n">
        <v>1</v>
      </c>
    </row>
    <row r="20" ht="20" customHeight="1">
      <c r="A20" s="24" t="inlineStr">
        <is>
          <t>KT100-220x24-ANT</t>
        </is>
      </c>
      <c r="B20" s="25" t="inlineStr">
        <is>
          <t>Deck / WPC Zemin</t>
        </is>
      </c>
      <c r="C20" s="9" t="inlineStr">
        <is>
          <t>3.00 Metre</t>
        </is>
      </c>
      <c r="D20" s="25" t="inlineStr">
        <is>
          <t>220 x 24 mm</t>
        </is>
      </c>
      <c r="E20" s="53" t="inlineStr">
        <is>
          <t>Hat 107</t>
        </is>
      </c>
      <c r="F20" s="40" t="inlineStr">
        <is>
          <t>Tek Göz (1 Kafa)</t>
        </is>
      </c>
      <c r="G20" s="28" t="inlineStr">
        <is>
          <t>ANA ROTA</t>
        </is>
      </c>
      <c r="H20" s="29" t="n">
        <v>205.7</v>
      </c>
      <c r="I20" s="30" t="n">
        <v>23</v>
      </c>
      <c r="J20" s="30" t="n">
        <v>1712</v>
      </c>
      <c r="K20" s="26" t="n">
        <v>10.33</v>
      </c>
      <c r="L20" s="27" t="n">
        <v>17678</v>
      </c>
      <c r="M20" s="31" t="n">
        <v>85.90000000000001</v>
      </c>
      <c r="N20" s="32" t="n">
        <v>8</v>
      </c>
      <c r="O20" s="58" t="n">
        <v>1</v>
      </c>
    </row>
    <row r="21" ht="20" customHeight="1">
      <c r="A21" s="7" t="inlineStr">
        <is>
          <t>80X80 PERVAZ</t>
        </is>
      </c>
      <c r="B21" s="8" t="inlineStr">
        <is>
          <t>Pervaz Profili</t>
        </is>
      </c>
      <c r="C21" s="9" t="inlineStr">
        <is>
          <t>2.20 Metre</t>
        </is>
      </c>
      <c r="D21" s="8" t="inlineStr">
        <is>
          <t>80 x 80 mm</t>
        </is>
      </c>
      <c r="E21" s="55" t="inlineStr">
        <is>
          <t>Hat 101</t>
        </is>
      </c>
      <c r="F21" s="39" t="inlineStr">
        <is>
          <t>Tek Göz (1 Kafa)</t>
        </is>
      </c>
      <c r="G21" s="12" t="inlineStr">
        <is>
          <t>ANA ROTA</t>
        </is>
      </c>
      <c r="H21" s="14" t="n">
        <v>260.5</v>
      </c>
      <c r="I21" s="15" t="n">
        <v>27</v>
      </c>
      <c r="J21" s="15" t="n">
        <v>5830</v>
      </c>
      <c r="K21" s="10" t="n">
        <v>2.2</v>
      </c>
      <c r="L21" s="11" t="n">
        <v>13318</v>
      </c>
      <c r="M21" s="16" t="n">
        <v>51.1</v>
      </c>
      <c r="N21" s="17" t="n">
        <v>22</v>
      </c>
      <c r="O21" s="59" t="n">
        <v>0.928795592440198</v>
      </c>
    </row>
    <row r="22" ht="20" customHeight="1">
      <c r="A22" s="24" t="inlineStr">
        <is>
          <t>35X100 PERVAZ</t>
        </is>
      </c>
      <c r="B22" s="25" t="inlineStr">
        <is>
          <t>Pervaz Profili</t>
        </is>
      </c>
      <c r="C22" s="9" t="inlineStr">
        <is>
          <t>2.20 Metre</t>
        </is>
      </c>
      <c r="D22" s="25" t="inlineStr">
        <is>
          <t>35 x 100 mm</t>
        </is>
      </c>
      <c r="E22" s="53" t="inlineStr">
        <is>
          <t>Hat 101</t>
        </is>
      </c>
      <c r="F22" s="40" t="inlineStr">
        <is>
          <t>Tek Göz (1 Kafa)</t>
        </is>
      </c>
      <c r="G22" s="28" t="inlineStr">
        <is>
          <t>ANA ROTA</t>
        </is>
      </c>
      <c r="H22" s="29" t="n">
        <v>241</v>
      </c>
      <c r="I22" s="30" t="n">
        <v>22</v>
      </c>
      <c r="J22" s="30" t="n">
        <v>4995</v>
      </c>
      <c r="K22" s="26" t="n">
        <v>2.08</v>
      </c>
      <c r="L22" s="27" t="n">
        <v>10435</v>
      </c>
      <c r="M22" s="31" t="n">
        <v>43.3</v>
      </c>
      <c r="N22" s="32" t="n">
        <v>21</v>
      </c>
      <c r="O22" s="58" t="n">
        <v>1</v>
      </c>
    </row>
    <row r="23" ht="20" customHeight="1">
      <c r="A23" s="7" t="inlineStr">
        <is>
          <t>35X150 PERVAZ</t>
        </is>
      </c>
      <c r="B23" s="8" t="inlineStr">
        <is>
          <t>Pervaz Profili</t>
        </is>
      </c>
      <c r="C23" s="9" t="inlineStr">
        <is>
          <t>2.20 Metre</t>
        </is>
      </c>
      <c r="D23" s="8" t="inlineStr">
        <is>
          <t>35 x 150 mm</t>
        </is>
      </c>
      <c r="E23" s="55" t="inlineStr">
        <is>
          <t>Hat 101</t>
        </is>
      </c>
      <c r="F23" s="39" t="inlineStr">
        <is>
          <t>Tek Göz (1 Kafa)</t>
        </is>
      </c>
      <c r="G23" s="12" t="inlineStr">
        <is>
          <t>ANA ROTA</t>
        </is>
      </c>
      <c r="H23" s="14" t="n">
        <v>231</v>
      </c>
      <c r="I23" s="15" t="n">
        <v>20</v>
      </c>
      <c r="J23" s="15" t="n">
        <v>3205</v>
      </c>
      <c r="K23" s="10" t="n">
        <v>2.97</v>
      </c>
      <c r="L23" s="11" t="n">
        <v>9522</v>
      </c>
      <c r="M23" s="16" t="n">
        <v>41.2</v>
      </c>
      <c r="N23" s="17" t="n">
        <v>14</v>
      </c>
      <c r="O23" s="59" t="n">
        <v>1</v>
      </c>
    </row>
    <row r="24" ht="20" customHeight="1">
      <c r="A24" s="24" t="inlineStr">
        <is>
          <t>KT102-219x26-ANT</t>
        </is>
      </c>
      <c r="B24" s="25" t="inlineStr">
        <is>
          <t>Deck / WPC Zemin</t>
        </is>
      </c>
      <c r="C24" s="9" t="inlineStr">
        <is>
          <t>3.00 Metre</t>
        </is>
      </c>
      <c r="D24" s="25" t="inlineStr">
        <is>
          <t>219 x 26 mm</t>
        </is>
      </c>
      <c r="E24" s="53" t="inlineStr">
        <is>
          <t>Hat 107</t>
        </is>
      </c>
      <c r="F24" s="40" t="inlineStr">
        <is>
          <t>Tek Göz (1 Kafa)</t>
        </is>
      </c>
      <c r="G24" s="28" t="inlineStr">
        <is>
          <t>ANA ROTA</t>
        </is>
      </c>
      <c r="H24" s="29" t="n">
        <v>87</v>
      </c>
      <c r="I24" s="30" t="n">
        <v>10</v>
      </c>
      <c r="J24" s="30" t="n">
        <v>895</v>
      </c>
      <c r="K24" s="26" t="n">
        <v>10.52</v>
      </c>
      <c r="L24" s="27" t="n">
        <v>9415</v>
      </c>
      <c r="M24" s="31" t="n">
        <v>108.2</v>
      </c>
      <c r="N24" s="32" t="n">
        <v>10</v>
      </c>
      <c r="O24" s="58" t="n">
        <v>1</v>
      </c>
    </row>
    <row r="25" ht="20" customHeight="1">
      <c r="A25" s="7" t="inlineStr">
        <is>
          <t>MIX BEYAZ TEAK Levha</t>
        </is>
      </c>
      <c r="B25" s="8" t="inlineStr">
        <is>
          <t>WPC Levha Plaka</t>
        </is>
      </c>
      <c r="C25" s="9" t="inlineStr">
        <is>
          <t>207 cm (2.07 m)</t>
        </is>
      </c>
      <c r="D25" s="8" t="inlineStr">
        <is>
          <t>En: 94 cm (2 mm)</t>
        </is>
      </c>
      <c r="E25" s="55" t="inlineStr">
        <is>
          <t>Hat 201</t>
        </is>
      </c>
      <c r="F25" s="39" t="inlineStr">
        <is>
          <t>Tek Göz (1 Kafa)</t>
        </is>
      </c>
      <c r="G25" s="12" t="inlineStr">
        <is>
          <t>ANA ROTA</t>
        </is>
      </c>
      <c r="H25" s="14" t="n">
        <v>48.79255891118007</v>
      </c>
      <c r="I25" s="15" t="n">
        <v>9</v>
      </c>
      <c r="J25" s="15" t="n">
        <v>2147</v>
      </c>
      <c r="K25" s="10" t="n">
        <v>4.25</v>
      </c>
      <c r="L25" s="11" t="n">
        <v>9124.75</v>
      </c>
      <c r="M25" s="16" t="n">
        <v>187</v>
      </c>
      <c r="N25" s="41" t="n">
        <v>44</v>
      </c>
      <c r="O25" s="59" t="n">
        <v>1</v>
      </c>
    </row>
    <row r="26" ht="20" customHeight="1">
      <c r="A26" s="24" t="inlineStr">
        <is>
          <t>CAM ÇITASI</t>
        </is>
      </c>
      <c r="B26" s="25" t="inlineStr">
        <is>
          <t>Cam Çıtası</t>
        </is>
      </c>
      <c r="C26" s="9" t="inlineStr">
        <is>
          <t>2.20 Metre</t>
        </is>
      </c>
      <c r="D26" s="25" t="inlineStr">
        <is>
          <t>15 x 20 mm</t>
        </is>
      </c>
      <c r="E26" s="53" t="inlineStr">
        <is>
          <t>Hat 102</t>
        </is>
      </c>
      <c r="F26" s="40" t="inlineStr">
        <is>
          <t>Tek Göz (1 Kafa)</t>
        </is>
      </c>
      <c r="G26" s="28" t="inlineStr">
        <is>
          <t>ANA ROTA</t>
        </is>
      </c>
      <c r="H26" s="29" t="n">
        <v>150</v>
      </c>
      <c r="I26" s="30" t="n">
        <v>14</v>
      </c>
      <c r="J26" s="30" t="n">
        <v>5187</v>
      </c>
      <c r="K26" s="26" t="n">
        <v>1.5</v>
      </c>
      <c r="L26" s="27" t="n">
        <v>7805</v>
      </c>
      <c r="M26" s="31" t="n">
        <v>52</v>
      </c>
      <c r="N26" s="32" t="n">
        <v>35</v>
      </c>
      <c r="O26" s="58" t="n">
        <v>1</v>
      </c>
    </row>
    <row r="27" ht="20" customHeight="1">
      <c r="A27" s="7" t="inlineStr">
        <is>
          <t>SONOMO Levha</t>
        </is>
      </c>
      <c r="B27" s="8" t="inlineStr">
        <is>
          <t>WPC Levha Plaka</t>
        </is>
      </c>
      <c r="C27" s="9" t="inlineStr">
        <is>
          <t>207 cm (2.07 m)</t>
        </is>
      </c>
      <c r="D27" s="8" t="inlineStr">
        <is>
          <t>En: 94 cm (2 mm)</t>
        </is>
      </c>
      <c r="E27" s="55" t="inlineStr">
        <is>
          <t>Hat 201</t>
        </is>
      </c>
      <c r="F27" s="39" t="inlineStr">
        <is>
          <t>Tek Göz (1 Kafa)</t>
        </is>
      </c>
      <c r="G27" s="12" t="inlineStr">
        <is>
          <t>ANA ROTA</t>
        </is>
      </c>
      <c r="H27" s="14" t="n">
        <v>47.95702552864577</v>
      </c>
      <c r="I27" s="15" t="n">
        <v>13</v>
      </c>
      <c r="J27" s="15" t="n">
        <v>1776</v>
      </c>
      <c r="K27" s="10" t="n">
        <v>4.33</v>
      </c>
      <c r="L27" s="11" t="n">
        <v>7690.08</v>
      </c>
      <c r="M27" s="16" t="n">
        <v>160.4</v>
      </c>
      <c r="N27" s="41" t="n">
        <v>37</v>
      </c>
      <c r="O27" s="59" t="n">
        <v>1</v>
      </c>
    </row>
    <row r="28" ht="20" customHeight="1">
      <c r="A28" s="24" t="inlineStr">
        <is>
          <t>AY GRİ Levha</t>
        </is>
      </c>
      <c r="B28" s="25" t="inlineStr">
        <is>
          <t>WPC Levha Plaka</t>
        </is>
      </c>
      <c r="C28" s="9" t="inlineStr">
        <is>
          <t>207 cm (2.07 m)</t>
        </is>
      </c>
      <c r="D28" s="25" t="inlineStr">
        <is>
          <t>En: 94 cm (2 mm)</t>
        </is>
      </c>
      <c r="E28" s="53" t="inlineStr">
        <is>
          <t>Hat 201</t>
        </is>
      </c>
      <c r="F28" s="40" t="inlineStr">
        <is>
          <t>Tek Göz (1 Kafa)</t>
        </is>
      </c>
      <c r="G28" s="28" t="inlineStr">
        <is>
          <t>ANA ROTA</t>
        </is>
      </c>
      <c r="H28" s="29" t="n">
        <v>38.03440860215053</v>
      </c>
      <c r="I28" s="30" t="n">
        <v>8</v>
      </c>
      <c r="J28" s="30" t="n">
        <v>1297</v>
      </c>
      <c r="K28" s="26" t="n">
        <v>4.64</v>
      </c>
      <c r="L28" s="27" t="n">
        <v>6018.08</v>
      </c>
      <c r="M28" s="31" t="n">
        <v>158.2</v>
      </c>
      <c r="N28" s="45" t="n">
        <v>34</v>
      </c>
      <c r="O28" s="58" t="n">
        <v>1</v>
      </c>
    </row>
    <row r="29" ht="20" customHeight="1">
      <c r="A29" s="7" t="inlineStr">
        <is>
          <t>ANTRASİT Levha</t>
        </is>
      </c>
      <c r="B29" s="8" t="inlineStr">
        <is>
          <t>WPC Levha Plaka</t>
        </is>
      </c>
      <c r="C29" s="9" t="inlineStr">
        <is>
          <t>207 cm (2.07 m)</t>
        </is>
      </c>
      <c r="D29" s="8" t="inlineStr">
        <is>
          <t>En: 94 cm (2 mm)</t>
        </is>
      </c>
      <c r="E29" s="55" t="inlineStr">
        <is>
          <t>Hat 201</t>
        </is>
      </c>
      <c r="F29" s="39" t="inlineStr">
        <is>
          <t>Tek Göz (1 Kafa)</t>
        </is>
      </c>
      <c r="G29" s="12" t="inlineStr">
        <is>
          <t>ANA ROTA</t>
        </is>
      </c>
      <c r="H29" s="14" t="n">
        <v>37.72884989747753</v>
      </c>
      <c r="I29" s="15" t="n">
        <v>8</v>
      </c>
      <c r="J29" s="15" t="n">
        <v>1176</v>
      </c>
      <c r="K29" s="10" t="n">
        <v>4.77</v>
      </c>
      <c r="L29" s="11" t="n">
        <v>5609.52</v>
      </c>
      <c r="M29" s="16" t="n">
        <v>148.7</v>
      </c>
      <c r="N29" s="41" t="n">
        <v>31</v>
      </c>
      <c r="O29" s="59" t="n">
        <v>1</v>
      </c>
    </row>
    <row r="30" ht="20" customHeight="1">
      <c r="A30" s="24" t="inlineStr">
        <is>
          <t>KOYU CEVİZ Levha</t>
        </is>
      </c>
      <c r="B30" s="25" t="inlineStr">
        <is>
          <t>WPC Levha Plaka</t>
        </is>
      </c>
      <c r="C30" s="9" t="inlineStr">
        <is>
          <t>207 cm (2.07 m)</t>
        </is>
      </c>
      <c r="D30" s="25" t="inlineStr">
        <is>
          <t>En: 94 cm (2 mm)</t>
        </is>
      </c>
      <c r="E30" s="53" t="inlineStr">
        <is>
          <t>Hat 201</t>
        </is>
      </c>
      <c r="F30" s="40" t="inlineStr">
        <is>
          <t>Tek Göz (1 Kafa)</t>
        </is>
      </c>
      <c r="G30" s="28" t="inlineStr">
        <is>
          <t>ANA ROTA</t>
        </is>
      </c>
      <c r="H30" s="29" t="n">
        <v>31.97761876040141</v>
      </c>
      <c r="I30" s="30" t="n">
        <v>7</v>
      </c>
      <c r="J30" s="30" t="n">
        <v>803</v>
      </c>
      <c r="K30" s="26" t="n">
        <v>4.79</v>
      </c>
      <c r="L30" s="27" t="n">
        <v>3846.37</v>
      </c>
      <c r="M30" s="31" t="n">
        <v>120.3</v>
      </c>
      <c r="N30" s="45" t="n">
        <v>25</v>
      </c>
      <c r="O30" s="58" t="n">
        <v>1</v>
      </c>
    </row>
    <row r="31" ht="20" customHeight="1">
      <c r="A31" s="7" t="inlineStr">
        <is>
          <t>SEREN</t>
        </is>
      </c>
      <c r="B31" s="8" t="inlineStr">
        <is>
          <t>Seren Çıtası</t>
        </is>
      </c>
      <c r="C31" s="9" t="inlineStr">
        <is>
          <t>2.10 Metre</t>
        </is>
      </c>
      <c r="D31" s="8" t="inlineStr">
        <is>
          <t>38 x 45 mm</t>
        </is>
      </c>
      <c r="E31" s="55" t="inlineStr">
        <is>
          <t>Hat 107</t>
        </is>
      </c>
      <c r="F31" s="39" t="inlineStr">
        <is>
          <t>Tek Göz (1 Kafa)</t>
        </is>
      </c>
      <c r="G31" s="20" t="inlineStr">
        <is>
          <t>YEDEK ROTA 2</t>
        </is>
      </c>
      <c r="H31" s="14" t="n">
        <v>42</v>
      </c>
      <c r="I31" s="15" t="n">
        <v>4</v>
      </c>
      <c r="J31" s="15" t="n">
        <v>865</v>
      </c>
      <c r="K31" s="10" t="n">
        <v>3.39</v>
      </c>
      <c r="L31" s="11" t="n">
        <v>3477</v>
      </c>
      <c r="M31" s="16" t="n">
        <v>82.8</v>
      </c>
      <c r="N31" s="17" t="n">
        <v>21</v>
      </c>
      <c r="O31" s="59" t="n">
        <v>0.0114449621906441</v>
      </c>
    </row>
    <row r="32" ht="20" customHeight="1">
      <c r="A32" s="24" t="inlineStr">
        <is>
          <t>COCO Levha</t>
        </is>
      </c>
      <c r="B32" s="25" t="inlineStr">
        <is>
          <t>WPC Levha Plaka</t>
        </is>
      </c>
      <c r="C32" s="9" t="inlineStr">
        <is>
          <t>207 cm (2.07 m)</t>
        </is>
      </c>
      <c r="D32" s="25" t="inlineStr">
        <is>
          <t>En: 94 cm (2 mm)</t>
        </is>
      </c>
      <c r="E32" s="53" t="inlineStr">
        <is>
          <t>Hat 201</t>
        </is>
      </c>
      <c r="F32" s="40" t="inlineStr">
        <is>
          <t>Tek Göz (1 Kafa)</t>
        </is>
      </c>
      <c r="G32" s="28" t="inlineStr">
        <is>
          <t>ANA ROTA</t>
        </is>
      </c>
      <c r="H32" s="29" t="n">
        <v>14.5</v>
      </c>
      <c r="I32" s="30" t="n">
        <v>3</v>
      </c>
      <c r="J32" s="30" t="n">
        <v>600</v>
      </c>
      <c r="K32" s="26" t="n">
        <v>4.79</v>
      </c>
      <c r="L32" s="27" t="n">
        <v>2874</v>
      </c>
      <c r="M32" s="31" t="n">
        <v>198.2</v>
      </c>
      <c r="N32" s="45" t="n">
        <v>41</v>
      </c>
      <c r="O32" s="58" t="n">
        <v>1</v>
      </c>
    </row>
    <row r="33" ht="20" customHeight="1">
      <c r="A33" s="7" t="inlineStr">
        <is>
          <t>200 mm KASA</t>
        </is>
      </c>
      <c r="B33" s="8" t="inlineStr">
        <is>
          <t>Kasa Profili</t>
        </is>
      </c>
      <c r="C33" s="9" t="inlineStr">
        <is>
          <t>2.15 Metre (215 cm)</t>
        </is>
      </c>
      <c r="D33" s="8" t="inlineStr">
        <is>
          <t>200 x 36 mm</t>
        </is>
      </c>
      <c r="E33" s="55" t="inlineStr">
        <is>
          <t>Hat 106</t>
        </is>
      </c>
      <c r="F33" s="39" t="inlineStr">
        <is>
          <t>Tek Göz (1 Kafa)</t>
        </is>
      </c>
      <c r="G33" s="20" t="inlineStr">
        <is>
          <t>YEDEK ROTA 1</t>
        </is>
      </c>
      <c r="H33" s="14" t="n">
        <v>24</v>
      </c>
      <c r="I33" s="15" t="n">
        <v>2</v>
      </c>
      <c r="J33" s="15" t="n">
        <v>492</v>
      </c>
      <c r="K33" s="10" t="n">
        <v>6.66</v>
      </c>
      <c r="L33" s="11" t="n">
        <v>2421</v>
      </c>
      <c r="M33" s="16" t="n">
        <v>100.9</v>
      </c>
      <c r="N33" s="17" t="n">
        <v>20</v>
      </c>
      <c r="O33" s="59" t="n">
        <v>0.02976688142428564</v>
      </c>
    </row>
    <row r="34" ht="20" customHeight="1">
      <c r="A34" s="24" t="inlineStr">
        <is>
          <t>200 mm KASA</t>
        </is>
      </c>
      <c r="B34" s="25" t="inlineStr">
        <is>
          <t>Kasa Profili</t>
        </is>
      </c>
      <c r="C34" s="9" t="inlineStr">
        <is>
          <t>2.15 Metre (215 cm)</t>
        </is>
      </c>
      <c r="D34" s="25" t="inlineStr">
        <is>
          <t>200 x 36 mm</t>
        </is>
      </c>
      <c r="E34" s="53" t="inlineStr">
        <is>
          <t>Hat 108</t>
        </is>
      </c>
      <c r="F34" s="40" t="inlineStr">
        <is>
          <t>Tek Göz (1 Kafa)</t>
        </is>
      </c>
      <c r="G34" s="35" t="inlineStr">
        <is>
          <t>YEDEK ROTA 2</t>
        </is>
      </c>
      <c r="H34" s="29" t="n">
        <v>24</v>
      </c>
      <c r="I34" s="30" t="n">
        <v>2</v>
      </c>
      <c r="J34" s="30" t="n">
        <v>348</v>
      </c>
      <c r="K34" s="26" t="n">
        <v>6.66</v>
      </c>
      <c r="L34" s="27" t="n">
        <v>1884</v>
      </c>
      <c r="M34" s="31" t="n">
        <v>78.5</v>
      </c>
      <c r="N34" s="32" t="n">
        <v>14</v>
      </c>
      <c r="O34" s="58" t="n">
        <v>0.02316431416908474</v>
      </c>
    </row>
    <row r="35" ht="20" customHeight="1">
      <c r="A35" s="7" t="inlineStr">
        <is>
          <t>U KAPAMA</t>
        </is>
      </c>
      <c r="B35" s="8" t="inlineStr">
        <is>
          <t>U Kapama / Lambiri</t>
        </is>
      </c>
      <c r="C35" s="9" t="inlineStr">
        <is>
          <t>2.20 Metre</t>
        </is>
      </c>
      <c r="D35" s="8" t="inlineStr">
        <is>
          <t>30 x 15 mm</t>
        </is>
      </c>
      <c r="E35" s="55" t="inlineStr">
        <is>
          <t>Hat 102</t>
        </is>
      </c>
      <c r="F35" s="39" t="inlineStr">
        <is>
          <t>Tek Göz (1 Kafa)</t>
        </is>
      </c>
      <c r="G35" s="12" t="inlineStr">
        <is>
          <t>ANA ROTA</t>
        </is>
      </c>
      <c r="H35" s="14" t="n">
        <v>34</v>
      </c>
      <c r="I35" s="15" t="n">
        <v>4</v>
      </c>
      <c r="J35" s="15" t="n">
        <v>2901</v>
      </c>
      <c r="K35" s="10" t="n">
        <v>0.48</v>
      </c>
      <c r="L35" s="11" t="n">
        <v>1385</v>
      </c>
      <c r="M35" s="16" t="n">
        <v>40.7</v>
      </c>
      <c r="N35" s="17" t="n">
        <v>85</v>
      </c>
      <c r="O35" s="59" t="n">
        <v>1</v>
      </c>
    </row>
    <row r="36" ht="20" customHeight="1">
      <c r="A36" s="24" t="inlineStr">
        <is>
          <t>140 mm KASA</t>
        </is>
      </c>
      <c r="B36" s="25" t="inlineStr">
        <is>
          <t>Kasa Profili</t>
        </is>
      </c>
      <c r="C36" s="9" t="inlineStr">
        <is>
          <t>2.15 Metre (215 cm)</t>
        </is>
      </c>
      <c r="D36" s="25" t="inlineStr">
        <is>
          <t>140 x 36 mm</t>
        </is>
      </c>
      <c r="E36" s="53" t="inlineStr">
        <is>
          <t>Hat 107</t>
        </is>
      </c>
      <c r="F36" s="40" t="inlineStr">
        <is>
          <t>Tek Göz (1 Kafa)</t>
        </is>
      </c>
      <c r="G36" s="35" t="inlineStr">
        <is>
          <t>YEDEK ROTA 3</t>
        </is>
      </c>
      <c r="H36" s="29" t="n">
        <v>30</v>
      </c>
      <c r="I36" s="30" t="n">
        <v>3</v>
      </c>
      <c r="J36" s="30" t="n">
        <v>220</v>
      </c>
      <c r="K36" s="26" t="n">
        <v>4.95</v>
      </c>
      <c r="L36" s="27" t="n">
        <v>1370</v>
      </c>
      <c r="M36" s="31" t="n">
        <v>45.7</v>
      </c>
      <c r="N36" s="32" t="n">
        <v>7</v>
      </c>
      <c r="O36" s="58" t="n">
        <v>0.007723705574598593</v>
      </c>
    </row>
    <row r="37" ht="20" customHeight="1">
      <c r="A37" s="7" t="inlineStr">
        <is>
          <t>100 mm KASA</t>
        </is>
      </c>
      <c r="B37" s="8" t="inlineStr">
        <is>
          <t>Kasa Profili</t>
        </is>
      </c>
      <c r="C37" s="9" t="inlineStr">
        <is>
          <t>2.15 Metre (215 cm)</t>
        </is>
      </c>
      <c r="D37" s="8" t="inlineStr">
        <is>
          <t>100 x 36 mm</t>
        </is>
      </c>
      <c r="E37" s="55" t="inlineStr">
        <is>
          <t>Hat 107</t>
        </is>
      </c>
      <c r="F37" s="39" t="inlineStr">
        <is>
          <t>Tek Göz (1 Kafa)</t>
        </is>
      </c>
      <c r="G37" s="20" t="inlineStr">
        <is>
          <t>YEDEK ROTA 2</t>
        </is>
      </c>
      <c r="H37" s="14" t="n">
        <v>12</v>
      </c>
      <c r="I37" s="15" t="n">
        <v>1</v>
      </c>
      <c r="J37" s="15" t="n">
        <v>174</v>
      </c>
      <c r="K37" s="10" t="n">
        <v>4</v>
      </c>
      <c r="L37" s="11" t="n">
        <v>1153</v>
      </c>
      <c r="M37" s="16" t="n">
        <v>96.09999999999999</v>
      </c>
      <c r="N37" s="17" t="n">
        <v>14</v>
      </c>
      <c r="O37" s="59" t="n">
        <v>0.008502774278997189</v>
      </c>
    </row>
    <row r="38" ht="20" customHeight="1">
      <c r="A38" s="24" t="inlineStr">
        <is>
          <t>80X80 PERVAZ</t>
        </is>
      </c>
      <c r="B38" s="25" t="inlineStr">
        <is>
          <t>Pervaz Profili</t>
        </is>
      </c>
      <c r="C38" s="9" t="inlineStr">
        <is>
          <t>2.20 Metre</t>
        </is>
      </c>
      <c r="D38" s="25" t="inlineStr">
        <is>
          <t>80 x 80 mm</t>
        </is>
      </c>
      <c r="E38" s="53" t="inlineStr">
        <is>
          <t>Hat 109</t>
        </is>
      </c>
      <c r="F38" s="13" t="inlineStr">
        <is>
          <t>Çift Göz (2 Kafa)</t>
        </is>
      </c>
      <c r="G38" s="35" t="inlineStr">
        <is>
          <t>YEDEK ROTA 1</t>
        </is>
      </c>
      <c r="H38" s="29" t="n">
        <v>12</v>
      </c>
      <c r="I38" s="30" t="n">
        <v>1</v>
      </c>
      <c r="J38" s="30" t="n">
        <v>690</v>
      </c>
      <c r="K38" s="26" t="n">
        <v>2.2</v>
      </c>
      <c r="L38" s="27" t="n">
        <v>1021</v>
      </c>
      <c r="M38" s="31" t="n">
        <v>85.09999999999999</v>
      </c>
      <c r="N38" s="32" t="n">
        <v>58</v>
      </c>
      <c r="O38" s="58" t="n">
        <v>0.07120440755980194</v>
      </c>
    </row>
    <row r="39" ht="20" customHeight="1">
      <c r="A39" s="7" t="inlineStr">
        <is>
          <t>100 mm KASA</t>
        </is>
      </c>
      <c r="B39" s="8" t="inlineStr">
        <is>
          <t>Kasa Profili</t>
        </is>
      </c>
      <c r="C39" s="9" t="inlineStr">
        <is>
          <t>2.15 Metre (215 cm)</t>
        </is>
      </c>
      <c r="D39" s="8" t="inlineStr">
        <is>
          <t>100 x 36 mm</t>
        </is>
      </c>
      <c r="E39" s="55" t="inlineStr">
        <is>
          <t>Hat 106</t>
        </is>
      </c>
      <c r="F39" s="39" t="inlineStr">
        <is>
          <t>Tek Göz (1 Kafa)</t>
        </is>
      </c>
      <c r="G39" s="20" t="inlineStr">
        <is>
          <t>YEDEK ROTA 3</t>
        </is>
      </c>
      <c r="H39" s="14" t="n">
        <v>12</v>
      </c>
      <c r="I39" s="15" t="n">
        <v>1</v>
      </c>
      <c r="J39" s="15" t="n">
        <v>162</v>
      </c>
      <c r="K39" s="10" t="n">
        <v>4</v>
      </c>
      <c r="L39" s="11" t="n">
        <v>841</v>
      </c>
      <c r="M39" s="16" t="n">
        <v>70.09999999999999</v>
      </c>
      <c r="N39" s="17" t="n">
        <v>14</v>
      </c>
      <c r="O39" s="59" t="n">
        <v>0.006201936833162737</v>
      </c>
    </row>
    <row r="40" ht="20" customHeight="1">
      <c r="A40" s="24" t="inlineStr">
        <is>
          <t>SEREN</t>
        </is>
      </c>
      <c r="B40" s="25" t="inlineStr">
        <is>
          <t>Seren Çıtası</t>
        </is>
      </c>
      <c r="C40" s="9" t="inlineStr">
        <is>
          <t>2.10 Metre</t>
        </is>
      </c>
      <c r="D40" s="25" t="inlineStr">
        <is>
          <t>38 x 45 mm</t>
        </is>
      </c>
      <c r="E40" s="53" t="inlineStr">
        <is>
          <t>Hat 103</t>
        </is>
      </c>
      <c r="F40" s="13" t="inlineStr">
        <is>
          <t>Çift Göz (2 Kafa)</t>
        </is>
      </c>
      <c r="G40" s="35" t="inlineStr">
        <is>
          <t>YEDEK ROTA 3</t>
        </is>
      </c>
      <c r="H40" s="29" t="n">
        <v>12</v>
      </c>
      <c r="I40" s="30" t="n">
        <v>1</v>
      </c>
      <c r="J40" s="30" t="n">
        <v>450</v>
      </c>
      <c r="K40" s="26" t="n">
        <v>3.39</v>
      </c>
      <c r="L40" s="27" t="n">
        <v>760</v>
      </c>
      <c r="M40" s="31" t="n">
        <v>63.3</v>
      </c>
      <c r="N40" s="32" t="n">
        <v>38</v>
      </c>
      <c r="O40" s="58" t="n">
        <v>0.002501631079922209</v>
      </c>
    </row>
    <row r="41" ht="20" customHeight="1">
      <c r="A41" s="7" t="inlineStr">
        <is>
          <t>140 mm KASA</t>
        </is>
      </c>
      <c r="B41" s="8" t="inlineStr">
        <is>
          <t>Kasa Profili</t>
        </is>
      </c>
      <c r="C41" s="9" t="inlineStr">
        <is>
          <t>2.15 Metre (215 cm)</t>
        </is>
      </c>
      <c r="D41" s="8" t="inlineStr">
        <is>
          <t>140 x 36 mm</t>
        </is>
      </c>
      <c r="E41" s="55" t="inlineStr">
        <is>
          <t>Hat 105</t>
        </is>
      </c>
      <c r="F41" s="39" t="inlineStr">
        <is>
          <t>Tek Göz (1 Kafa)</t>
        </is>
      </c>
      <c r="G41" s="20" t="inlineStr">
        <is>
          <t>YEDEK ROTA 4</t>
        </is>
      </c>
      <c r="H41" s="14" t="n">
        <v>12</v>
      </c>
      <c r="I41" s="15" t="n">
        <v>1</v>
      </c>
      <c r="J41" s="15" t="n">
        <v>209</v>
      </c>
      <c r="K41" s="10" t="n">
        <v>4.95</v>
      </c>
      <c r="L41" s="11" t="n">
        <v>716</v>
      </c>
      <c r="M41" s="16" t="n">
        <v>59.7</v>
      </c>
      <c r="N41" s="17" t="n">
        <v>17</v>
      </c>
      <c r="O41" s="59" t="n">
        <v>0.004036622767454447</v>
      </c>
    </row>
    <row r="42" ht="20" customHeight="1">
      <c r="A42" s="24" t="inlineStr">
        <is>
          <t>35X80 PERVAZ</t>
        </is>
      </c>
      <c r="B42" s="25" t="inlineStr">
        <is>
          <t>Pervaz Profili</t>
        </is>
      </c>
      <c r="C42" s="9" t="inlineStr">
        <is>
          <t>2.20 Metre</t>
        </is>
      </c>
      <c r="D42" s="25" t="inlineStr">
        <is>
          <t>35 x 80 mm</t>
        </is>
      </c>
      <c r="E42" s="53" t="inlineStr">
        <is>
          <t>Hat 101</t>
        </is>
      </c>
      <c r="F42" s="40" t="inlineStr">
        <is>
          <t>Tek Göz (1 Kafa)</t>
        </is>
      </c>
      <c r="G42" s="28" t="inlineStr">
        <is>
          <t>ANA ROTA</t>
        </is>
      </c>
      <c r="H42" s="29" t="n">
        <v>12</v>
      </c>
      <c r="I42" s="30" t="n">
        <v>1</v>
      </c>
      <c r="J42" s="30" t="n">
        <v>180</v>
      </c>
      <c r="K42" s="26" t="n">
        <v>2.94</v>
      </c>
      <c r="L42" s="27" t="n">
        <v>530</v>
      </c>
      <c r="M42" s="31" t="n">
        <v>44.2</v>
      </c>
      <c r="N42" s="32" t="n">
        <v>15</v>
      </c>
      <c r="O42" s="58" t="n">
        <v>1</v>
      </c>
    </row>
    <row r="43" ht="20" customHeight="1">
      <c r="A43" s="7" t="inlineStr">
        <is>
          <t>KT102-219x26-KAH</t>
        </is>
      </c>
      <c r="B43" s="8" t="inlineStr">
        <is>
          <t>Deck / WPC Zemin</t>
        </is>
      </c>
      <c r="C43" s="9" t="inlineStr">
        <is>
          <t>3.00 Metre</t>
        </is>
      </c>
      <c r="D43" s="8" t="inlineStr">
        <is>
          <t>219 x 26 mm</t>
        </is>
      </c>
      <c r="E43" s="55" t="inlineStr">
        <is>
          <t>Hat 107</t>
        </is>
      </c>
      <c r="F43" s="39" t="inlineStr">
        <is>
          <t>Tek Göz (1 Kafa)</t>
        </is>
      </c>
      <c r="G43" s="12" t="inlineStr">
        <is>
          <t>ANA ROTA</t>
        </is>
      </c>
      <c r="H43" s="14" t="n">
        <v>4</v>
      </c>
      <c r="I43" s="15" t="n">
        <v>1</v>
      </c>
      <c r="J43" s="15" t="n">
        <v>50</v>
      </c>
      <c r="K43" s="10" t="n">
        <v>9.26</v>
      </c>
      <c r="L43" s="11" t="n">
        <v>463</v>
      </c>
      <c r="M43" s="16" t="n">
        <v>115.8</v>
      </c>
      <c r="N43" s="17" t="n">
        <v>12</v>
      </c>
      <c r="O43" s="59" t="n">
        <v>1</v>
      </c>
    </row>
    <row r="44" ht="24" customHeight="1">
      <c r="A44" s="57" t="inlineStr">
        <is>
          <t>GENEL TOPLAM (FİLTREYE DUYARLI)</t>
        </is>
      </c>
      <c r="B44" s="50" t="n"/>
      <c r="C44" s="50" t="n"/>
      <c r="D44" s="50" t="n"/>
      <c r="E44" s="50" t="n"/>
      <c r="F44" s="50" t="n"/>
      <c r="G44" s="50" t="n"/>
      <c r="H44" s="52">
        <f>SUBTOTAL(109, H4:H43)</f>
        <v/>
      </c>
      <c r="I44" s="51">
        <f>SUBTOTAL(109, I4:I43)</f>
        <v/>
      </c>
      <c r="J44" s="51">
        <f>SUBTOTAL(109, J4:J43)</f>
        <v/>
      </c>
      <c r="K44" s="50" t="n"/>
      <c r="L44" s="51">
        <f>SUBTOTAL(109, L4:L43)</f>
        <v/>
      </c>
      <c r="M44" s="50" t="n"/>
      <c r="N44" s="50" t="n"/>
      <c r="O44" s="50" t="n"/>
    </row>
  </sheetData>
  <autoFilter ref="A3:O43"/>
  <mergeCells count="2">
    <mergeCell ref="A1:O1"/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8"/>
  <sheetViews>
    <sheetView showGridLines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24" customWidth="1" min="1" max="1"/>
    <col width="18" customWidth="1" min="2" max="2"/>
    <col width="14" customWidth="1" min="3" max="3"/>
    <col width="18" customWidth="1" min="4" max="4"/>
    <col width="18" customWidth="1" min="5" max="5"/>
    <col width="14" customWidth="1" min="6" max="6"/>
    <col width="16" customWidth="1" min="7" max="7"/>
    <col width="16" customWidth="1" min="8" max="8"/>
    <col width="15" customWidth="1" min="9" max="9"/>
    <col width="22" customWidth="1" min="10" max="10"/>
    <col width="16" customWidth="1" min="11" max="11"/>
    <col width="20" customWidth="1" min="12" max="12"/>
    <col width="28" customWidth="1" min="13" max="13"/>
  </cols>
  <sheetData>
    <row r="1" ht="36" customHeight="1">
      <c r="A1" s="1" t="inlineStr">
        <is>
          <t>ERGUNBAS GROUP — TEK GÖZ VE ÇİFT GÖZ ÇIKIŞLI KALIP VERİMLİLİK VE KAPASİTE KARŞILAŞTIRMASI</t>
        </is>
      </c>
    </row>
    <row r="2" ht="20" customHeight="1">
      <c r="A2" s="2" t="inlineStr">
        <is>
          <t>Aynı ürünlerin tek göz ve çift göz kalıpla çalışıldığında saatteki boy hızları, fiili kilo hızları ve verimlilik farkları</t>
        </is>
      </c>
    </row>
    <row r="3" ht="26" customHeight="1">
      <c r="A3" s="6" t="inlineStr">
        <is>
          <t>Ürün Adı</t>
        </is>
      </c>
      <c r="B3" s="6" t="inlineStr">
        <is>
          <t>Standart Boy</t>
        </is>
      </c>
      <c r="C3" s="6" t="inlineStr">
        <is>
          <t>Çalışılan Hat</t>
        </is>
      </c>
      <c r="D3" s="6" t="inlineStr">
        <is>
          <t>Kalıp Çıkışı</t>
        </is>
      </c>
      <c r="E3" s="6" t="inlineStr">
        <is>
          <t>Toplam Çalışma (Saat)</t>
        </is>
      </c>
      <c r="F3" s="6" t="inlineStr">
        <is>
          <t>Vardiya Sayısı</t>
        </is>
      </c>
      <c r="G3" s="6" t="inlineStr">
        <is>
          <t>Toplam Net KG</t>
        </is>
      </c>
      <c r="H3" s="6" t="inlineStr">
        <is>
          <t>Toplam Boy/Adet</t>
        </is>
      </c>
      <c r="I3" s="6" t="inlineStr">
        <is>
          <t>Fiili Hız (kg/sa)</t>
        </is>
      </c>
      <c r="J3" s="6" t="inlineStr">
        <is>
          <t>Fiili Boy Hızı (Saatte)</t>
        </is>
      </c>
      <c r="K3" s="6" t="inlineStr">
        <is>
          <t>Standart Kapasite (kg/sa)</t>
        </is>
      </c>
      <c r="L3" s="6" t="inlineStr">
        <is>
          <t>Kapasite Gerçekleşme / Verim (%)</t>
        </is>
      </c>
      <c r="M3" s="6" t="inlineStr">
        <is>
          <t>Göz Tipi Açıklaması</t>
        </is>
      </c>
    </row>
    <row r="4" ht="20" customHeight="1">
      <c r="A4" s="24" t="inlineStr">
        <is>
          <t>100 mm KASA</t>
        </is>
      </c>
      <c r="B4" s="60" t="inlineStr">
        <is>
          <t>2.15 Metre (215 cm)</t>
        </is>
      </c>
      <c r="C4" s="53" t="inlineStr">
        <is>
          <t>Hat 102</t>
        </is>
      </c>
      <c r="D4" s="53" t="inlineStr">
        <is>
          <t>Tek Göz (1 Kafa)</t>
        </is>
      </c>
      <c r="E4" s="29" t="n">
        <v>1074.1</v>
      </c>
      <c r="F4" s="30" t="n">
        <v>95</v>
      </c>
      <c r="G4" s="27" t="n">
        <v>67941</v>
      </c>
      <c r="H4" s="30" t="n">
        <v>16716</v>
      </c>
      <c r="I4" s="31" t="n">
        <v>63.3</v>
      </c>
      <c r="J4" s="32" t="n">
        <v>16</v>
      </c>
      <c r="K4" s="29" t="n">
        <v>63.3</v>
      </c>
      <c r="L4" s="34" t="n">
        <v>1</v>
      </c>
      <c r="M4" s="25" t="inlineStr">
        <is>
          <t>Standart Tek Çıkışlı Kalıp</t>
        </is>
      </c>
    </row>
    <row r="5" ht="20" customHeight="1">
      <c r="A5" s="7" t="inlineStr">
        <is>
          <t>100 mm KASA</t>
        </is>
      </c>
      <c r="B5" s="61" t="inlineStr">
        <is>
          <t>2.15 Metre (215 cm)</t>
        </is>
      </c>
      <c r="C5" s="55" t="inlineStr">
        <is>
          <t>Hat 106</t>
        </is>
      </c>
      <c r="D5" s="55" t="inlineStr">
        <is>
          <t>Tek Göz (1 Kafa)</t>
        </is>
      </c>
      <c r="E5" s="14" t="n">
        <v>12</v>
      </c>
      <c r="F5" s="15" t="n">
        <v>1</v>
      </c>
      <c r="G5" s="11" t="n">
        <v>841</v>
      </c>
      <c r="H5" s="15" t="n">
        <v>162</v>
      </c>
      <c r="I5" s="16" t="n">
        <v>70.09999999999999</v>
      </c>
      <c r="J5" s="17" t="n">
        <v>14</v>
      </c>
      <c r="K5" s="14" t="n">
        <v>70.09999999999999</v>
      </c>
      <c r="L5" s="19" t="n">
        <v>1</v>
      </c>
      <c r="M5" s="8" t="inlineStr">
        <is>
          <t>Standart Tek Çıkışlı Kalıp</t>
        </is>
      </c>
    </row>
    <row r="6" ht="20" customHeight="1">
      <c r="A6" s="24" t="inlineStr">
        <is>
          <t>100 mm KASA</t>
        </is>
      </c>
      <c r="B6" s="60" t="inlineStr">
        <is>
          <t>2.15 Metre (215 cm)</t>
        </is>
      </c>
      <c r="C6" s="53" t="inlineStr">
        <is>
          <t>Hat 107</t>
        </is>
      </c>
      <c r="D6" s="53" t="inlineStr">
        <is>
          <t>Tek Göz (1 Kafa)</t>
        </is>
      </c>
      <c r="E6" s="29" t="n">
        <v>12</v>
      </c>
      <c r="F6" s="30" t="n">
        <v>1</v>
      </c>
      <c r="G6" s="27" t="n">
        <v>1153</v>
      </c>
      <c r="H6" s="30" t="n">
        <v>174</v>
      </c>
      <c r="I6" s="31" t="n">
        <v>96.09999999999999</v>
      </c>
      <c r="J6" s="32" t="n">
        <v>14</v>
      </c>
      <c r="K6" s="29" t="n">
        <v>96.09999999999999</v>
      </c>
      <c r="L6" s="34" t="n">
        <v>1</v>
      </c>
      <c r="M6" s="25" t="inlineStr">
        <is>
          <t>Standart Tek Çıkışlı Kalıp</t>
        </is>
      </c>
    </row>
    <row r="7" ht="20" customHeight="1">
      <c r="A7" s="7" t="inlineStr">
        <is>
          <t>100 mm KASA</t>
        </is>
      </c>
      <c r="B7" s="61" t="inlineStr">
        <is>
          <t>2.15 Metre (215 cm)</t>
        </is>
      </c>
      <c r="C7" s="55" t="inlineStr">
        <is>
          <t>Hat 108</t>
        </is>
      </c>
      <c r="D7" s="55" t="inlineStr">
        <is>
          <t>Tek Göz (1 Kafa)</t>
        </is>
      </c>
      <c r="E7" s="14" t="n">
        <v>983</v>
      </c>
      <c r="F7" s="15" t="n">
        <v>91</v>
      </c>
      <c r="G7" s="11" t="n">
        <v>65667.8</v>
      </c>
      <c r="H7" s="15" t="n">
        <v>16968</v>
      </c>
      <c r="I7" s="16" t="n">
        <v>66.8</v>
      </c>
      <c r="J7" s="17" t="n">
        <v>17</v>
      </c>
      <c r="K7" s="14" t="n">
        <v>69.5</v>
      </c>
      <c r="L7" s="19" t="n">
        <v>0.9611510791366906</v>
      </c>
      <c r="M7" s="8" t="inlineStr">
        <is>
          <t>Standart Tek Çıkışlı Kalıp</t>
        </is>
      </c>
    </row>
    <row r="8" ht="20" customHeight="1">
      <c r="A8" s="24" t="inlineStr">
        <is>
          <t>140 mm KASA</t>
        </is>
      </c>
      <c r="B8" s="60" t="inlineStr">
        <is>
          <t>2.15 Metre (215 cm)</t>
        </is>
      </c>
      <c r="C8" s="53" t="inlineStr">
        <is>
          <t>Hat 102</t>
        </is>
      </c>
      <c r="D8" s="53" t="inlineStr">
        <is>
          <t>Tek Göz (1 Kafa)</t>
        </is>
      </c>
      <c r="E8" s="29" t="n">
        <v>345</v>
      </c>
      <c r="F8" s="30" t="n">
        <v>32</v>
      </c>
      <c r="G8" s="27" t="n">
        <v>20222</v>
      </c>
      <c r="H8" s="30" t="n">
        <v>3677</v>
      </c>
      <c r="I8" s="31" t="n">
        <v>58.6</v>
      </c>
      <c r="J8" s="32" t="n">
        <v>11</v>
      </c>
      <c r="K8" s="29" t="n">
        <v>51.8</v>
      </c>
      <c r="L8" s="34" t="n">
        <v>1.131274131274131</v>
      </c>
      <c r="M8" s="25" t="inlineStr">
        <is>
          <t>Standart Tek Çıkışlı Kalıp</t>
        </is>
      </c>
    </row>
    <row r="9" ht="20" customHeight="1">
      <c r="A9" s="7" t="inlineStr">
        <is>
          <t>140 mm KASA</t>
        </is>
      </c>
      <c r="B9" s="61" t="inlineStr">
        <is>
          <t>2.15 Metre (215 cm)</t>
        </is>
      </c>
      <c r="C9" s="55" t="inlineStr">
        <is>
          <t>Hat 105</t>
        </is>
      </c>
      <c r="D9" s="55" t="inlineStr">
        <is>
          <t>Tek Göz (1 Kafa)</t>
        </is>
      </c>
      <c r="E9" s="14" t="n">
        <v>12</v>
      </c>
      <c r="F9" s="15" t="n">
        <v>1</v>
      </c>
      <c r="G9" s="11" t="n">
        <v>716</v>
      </c>
      <c r="H9" s="15" t="n">
        <v>209</v>
      </c>
      <c r="I9" s="16" t="n">
        <v>59.7</v>
      </c>
      <c r="J9" s="17" t="n">
        <v>17</v>
      </c>
      <c r="K9" s="14" t="n">
        <v>59.7</v>
      </c>
      <c r="L9" s="19" t="n">
        <v>1</v>
      </c>
      <c r="M9" s="8" t="inlineStr">
        <is>
          <t>Standart Tek Çıkışlı Kalıp</t>
        </is>
      </c>
    </row>
    <row r="10" ht="20" customHeight="1">
      <c r="A10" s="24" t="inlineStr">
        <is>
          <t>140 mm KASA</t>
        </is>
      </c>
      <c r="B10" s="60" t="inlineStr">
        <is>
          <t>2.15 Metre (215 cm)</t>
        </is>
      </c>
      <c r="C10" s="53" t="inlineStr">
        <is>
          <t>Hat 106</t>
        </is>
      </c>
      <c r="D10" s="53" t="inlineStr">
        <is>
          <t>Tek Göz (1 Kafa)</t>
        </is>
      </c>
      <c r="E10" s="29" t="n">
        <v>1633.3</v>
      </c>
      <c r="F10" s="30" t="n">
        <v>146</v>
      </c>
      <c r="G10" s="27" t="n">
        <v>116744</v>
      </c>
      <c r="H10" s="30" t="n">
        <v>22822</v>
      </c>
      <c r="I10" s="31" t="n">
        <v>71.5</v>
      </c>
      <c r="J10" s="32" t="n">
        <v>14</v>
      </c>
      <c r="K10" s="29" t="n">
        <v>74.09999999999999</v>
      </c>
      <c r="L10" s="34" t="n">
        <v>0.9649122807017545</v>
      </c>
      <c r="M10" s="25" t="inlineStr">
        <is>
          <t>Standart Tek Çıkışlı Kalıp</t>
        </is>
      </c>
    </row>
    <row r="11" ht="20" customHeight="1">
      <c r="A11" s="7" t="inlineStr">
        <is>
          <t>140 mm KASA</t>
        </is>
      </c>
      <c r="B11" s="61" t="inlineStr">
        <is>
          <t>2.15 Metre (215 cm)</t>
        </is>
      </c>
      <c r="C11" s="55" t="inlineStr">
        <is>
          <t>Hat 107</t>
        </is>
      </c>
      <c r="D11" s="55" t="inlineStr">
        <is>
          <t>Tek Göz (1 Kafa)</t>
        </is>
      </c>
      <c r="E11" s="14" t="n">
        <v>30</v>
      </c>
      <c r="F11" s="15" t="n">
        <v>3</v>
      </c>
      <c r="G11" s="11" t="n">
        <v>1370</v>
      </c>
      <c r="H11" s="15" t="n">
        <v>220</v>
      </c>
      <c r="I11" s="16" t="n">
        <v>45.7</v>
      </c>
      <c r="J11" s="17" t="n">
        <v>7</v>
      </c>
      <c r="K11" s="14" t="n">
        <v>45.7</v>
      </c>
      <c r="L11" s="19" t="n">
        <v>1</v>
      </c>
      <c r="M11" s="8" t="inlineStr">
        <is>
          <t>Standart Tek Çıkışlı Kalıp</t>
        </is>
      </c>
    </row>
    <row r="12" ht="20" customHeight="1">
      <c r="A12" s="24" t="inlineStr">
        <is>
          <t>140 mm KASA</t>
        </is>
      </c>
      <c r="B12" s="60" t="inlineStr">
        <is>
          <t>2.15 Metre (215 cm)</t>
        </is>
      </c>
      <c r="C12" s="53" t="inlineStr">
        <is>
          <t>Hat 108</t>
        </is>
      </c>
      <c r="D12" s="53" t="inlineStr">
        <is>
          <t>Tek Göz (1 Kafa)</t>
        </is>
      </c>
      <c r="E12" s="29" t="n">
        <v>590.2</v>
      </c>
      <c r="F12" s="30" t="n">
        <v>53</v>
      </c>
      <c r="G12" s="27" t="n">
        <v>38324</v>
      </c>
      <c r="H12" s="30" t="n">
        <v>8661</v>
      </c>
      <c r="I12" s="31" t="n">
        <v>64.90000000000001</v>
      </c>
      <c r="J12" s="32" t="n">
        <v>15</v>
      </c>
      <c r="K12" s="29" t="n">
        <v>64.90000000000001</v>
      </c>
      <c r="L12" s="34" t="n">
        <v>1</v>
      </c>
      <c r="M12" s="25" t="inlineStr">
        <is>
          <t>Standart Tek Çıkışlı Kalıp</t>
        </is>
      </c>
    </row>
    <row r="13" ht="20" customHeight="1">
      <c r="A13" s="7" t="inlineStr">
        <is>
          <t>200 mm KASA</t>
        </is>
      </c>
      <c r="B13" s="61" t="inlineStr">
        <is>
          <t>2.15 Metre (215 cm)</t>
        </is>
      </c>
      <c r="C13" s="55" t="inlineStr">
        <is>
          <t>Hat 106</t>
        </is>
      </c>
      <c r="D13" s="55" t="inlineStr">
        <is>
          <t>Tek Göz (1 Kafa)</t>
        </is>
      </c>
      <c r="E13" s="14" t="n">
        <v>24</v>
      </c>
      <c r="F13" s="15" t="n">
        <v>2</v>
      </c>
      <c r="G13" s="11" t="n">
        <v>2421</v>
      </c>
      <c r="H13" s="15" t="n">
        <v>492</v>
      </c>
      <c r="I13" s="16" t="n">
        <v>100.9</v>
      </c>
      <c r="J13" s="17" t="n">
        <v>20</v>
      </c>
      <c r="K13" s="14" t="n">
        <v>100.9</v>
      </c>
      <c r="L13" s="19" t="n">
        <v>1</v>
      </c>
      <c r="M13" s="8" t="inlineStr">
        <is>
          <t>Standart Tek Çıkışlı Kalıp</t>
        </is>
      </c>
    </row>
    <row r="14" ht="20" customHeight="1">
      <c r="A14" s="24" t="inlineStr">
        <is>
          <t>200 mm KASA</t>
        </is>
      </c>
      <c r="B14" s="60" t="inlineStr">
        <is>
          <t>2.15 Metre (215 cm)</t>
        </is>
      </c>
      <c r="C14" s="53" t="inlineStr">
        <is>
          <t>Hat 107</t>
        </is>
      </c>
      <c r="D14" s="53" t="inlineStr">
        <is>
          <t>Tek Göz (1 Kafa)</t>
        </is>
      </c>
      <c r="E14" s="29" t="n">
        <v>910</v>
      </c>
      <c r="F14" s="30" t="n">
        <v>86</v>
      </c>
      <c r="G14" s="27" t="n">
        <v>77027</v>
      </c>
      <c r="H14" s="30" t="n">
        <v>11377</v>
      </c>
      <c r="I14" s="31" t="n">
        <v>84.59999999999999</v>
      </c>
      <c r="J14" s="32" t="n">
        <v>12</v>
      </c>
      <c r="K14" s="29" t="n">
        <v>84.59999999999999</v>
      </c>
      <c r="L14" s="34" t="n">
        <v>1</v>
      </c>
      <c r="M14" s="25" t="inlineStr">
        <is>
          <t>Standart Tek Çıkışlı Kalıp</t>
        </is>
      </c>
    </row>
    <row r="15" ht="20" customHeight="1">
      <c r="A15" s="7" t="inlineStr">
        <is>
          <t>200 mm KASA</t>
        </is>
      </c>
      <c r="B15" s="61" t="inlineStr">
        <is>
          <t>2.15 Metre (215 cm)</t>
        </is>
      </c>
      <c r="C15" s="55" t="inlineStr">
        <is>
          <t>Hat 108</t>
        </is>
      </c>
      <c r="D15" s="55" t="inlineStr">
        <is>
          <t>Tek Göz (1 Kafa)</t>
        </is>
      </c>
      <c r="E15" s="14" t="n">
        <v>24</v>
      </c>
      <c r="F15" s="15" t="n">
        <v>2</v>
      </c>
      <c r="G15" s="11" t="n">
        <v>1884</v>
      </c>
      <c r="H15" s="15" t="n">
        <v>348</v>
      </c>
      <c r="I15" s="16" t="n">
        <v>78.5</v>
      </c>
      <c r="J15" s="17" t="n">
        <v>14</v>
      </c>
      <c r="K15" s="14" t="n">
        <v>78.5</v>
      </c>
      <c r="L15" s="19" t="n">
        <v>1</v>
      </c>
      <c r="M15" s="8" t="inlineStr">
        <is>
          <t>Standart Tek Çıkışlı Kalıp</t>
        </is>
      </c>
    </row>
    <row r="16" ht="20" customHeight="1">
      <c r="A16" s="24" t="inlineStr">
        <is>
          <t>35X100 PERVAZ</t>
        </is>
      </c>
      <c r="B16" s="60" t="inlineStr">
        <is>
          <t>2.20 Metre</t>
        </is>
      </c>
      <c r="C16" s="53" t="inlineStr">
        <is>
          <t>Hat 101</t>
        </is>
      </c>
      <c r="D16" s="53" t="inlineStr">
        <is>
          <t>Tek Göz (1 Kafa)</t>
        </is>
      </c>
      <c r="E16" s="29" t="n">
        <v>241</v>
      </c>
      <c r="F16" s="30" t="n">
        <v>22</v>
      </c>
      <c r="G16" s="27" t="n">
        <v>10435</v>
      </c>
      <c r="H16" s="30" t="n">
        <v>4995</v>
      </c>
      <c r="I16" s="31" t="n">
        <v>43.3</v>
      </c>
      <c r="J16" s="32" t="n">
        <v>21</v>
      </c>
      <c r="K16" s="29" t="n">
        <v>46.8</v>
      </c>
      <c r="L16" s="34" t="n">
        <v>0.9252136752136753</v>
      </c>
      <c r="M16" s="25" t="inlineStr">
        <is>
          <t>Standart Tek Çıkışlı Kalıp</t>
        </is>
      </c>
    </row>
    <row r="17" ht="20" customHeight="1">
      <c r="A17" s="7" t="inlineStr">
        <is>
          <t>35X150 PERVAZ</t>
        </is>
      </c>
      <c r="B17" s="61" t="inlineStr">
        <is>
          <t>2.20 Metre</t>
        </is>
      </c>
      <c r="C17" s="55" t="inlineStr">
        <is>
          <t>Hat 101</t>
        </is>
      </c>
      <c r="D17" s="55" t="inlineStr">
        <is>
          <t>Tek Göz (1 Kafa)</t>
        </is>
      </c>
      <c r="E17" s="14" t="n">
        <v>231</v>
      </c>
      <c r="F17" s="15" t="n">
        <v>20</v>
      </c>
      <c r="G17" s="11" t="n">
        <v>9522</v>
      </c>
      <c r="H17" s="15" t="n">
        <v>3205</v>
      </c>
      <c r="I17" s="16" t="n">
        <v>41.2</v>
      </c>
      <c r="J17" s="17" t="n">
        <v>14</v>
      </c>
      <c r="K17" s="14" t="n">
        <v>41.2</v>
      </c>
      <c r="L17" s="19" t="n">
        <v>1</v>
      </c>
      <c r="M17" s="8" t="inlineStr">
        <is>
          <t>Standart Tek Çıkışlı Kalıp</t>
        </is>
      </c>
    </row>
    <row r="18" ht="20" customHeight="1">
      <c r="A18" s="24" t="inlineStr">
        <is>
          <t>35X80 PERVAZ</t>
        </is>
      </c>
      <c r="B18" s="60" t="inlineStr">
        <is>
          <t>2.20 Metre</t>
        </is>
      </c>
      <c r="C18" s="53" t="inlineStr">
        <is>
          <t>Hat 101</t>
        </is>
      </c>
      <c r="D18" s="53" t="inlineStr">
        <is>
          <t>Tek Göz (1 Kafa)</t>
        </is>
      </c>
      <c r="E18" s="29" t="n">
        <v>12</v>
      </c>
      <c r="F18" s="30" t="n">
        <v>1</v>
      </c>
      <c r="G18" s="27" t="n">
        <v>530</v>
      </c>
      <c r="H18" s="30" t="n">
        <v>180</v>
      </c>
      <c r="I18" s="31" t="n">
        <v>44.2</v>
      </c>
      <c r="J18" s="32" t="n">
        <v>15</v>
      </c>
      <c r="K18" s="29" t="n">
        <v>44.2</v>
      </c>
      <c r="L18" s="34" t="n">
        <v>1</v>
      </c>
      <c r="M18" s="25" t="inlineStr">
        <is>
          <t>Standart Tek Çıkışlı Kalıp</t>
        </is>
      </c>
    </row>
    <row r="19" ht="20" customHeight="1">
      <c r="A19" s="7" t="inlineStr">
        <is>
          <t>50X80 PERVAZ</t>
        </is>
      </c>
      <c r="B19" s="61" t="inlineStr">
        <is>
          <t>2.20 Metre</t>
        </is>
      </c>
      <c r="C19" s="55" t="inlineStr">
        <is>
          <t>Hat 103</t>
        </is>
      </c>
      <c r="D19" s="55" t="inlineStr">
        <is>
          <t>Tek Göz (1 Kafa)</t>
        </is>
      </c>
      <c r="E19" s="14" t="n">
        <v>72</v>
      </c>
      <c r="F19" s="15" t="n">
        <v>6</v>
      </c>
      <c r="G19" s="11" t="n">
        <v>4291</v>
      </c>
      <c r="H19" s="15" t="n">
        <v>2740</v>
      </c>
      <c r="I19" s="16" t="n">
        <v>59.6</v>
      </c>
      <c r="J19" s="17" t="n">
        <v>38</v>
      </c>
      <c r="K19" s="14" t="n">
        <v>53.1</v>
      </c>
      <c r="L19" s="19" t="n">
        <v>1.12241054613936</v>
      </c>
      <c r="M19" s="8" t="inlineStr">
        <is>
          <t>Standart Tek Çıkışlı Kalıp</t>
        </is>
      </c>
    </row>
    <row r="20" ht="20" customHeight="1">
      <c r="A20" s="62" t="inlineStr">
        <is>
          <t>50X80 PERVAZ</t>
        </is>
      </c>
      <c r="B20" s="63" t="inlineStr">
        <is>
          <t>2.20 Metre</t>
        </is>
      </c>
      <c r="C20" s="64" t="inlineStr">
        <is>
          <t>Hat 103</t>
        </is>
      </c>
      <c r="D20" s="13" t="inlineStr">
        <is>
          <t>Çift Göz (2 Kafa)</t>
        </is>
      </c>
      <c r="E20" s="65" t="n">
        <v>1397</v>
      </c>
      <c r="F20" s="66" t="n">
        <v>127</v>
      </c>
      <c r="G20" s="67" t="n">
        <v>72315</v>
      </c>
      <c r="H20" s="66" t="n">
        <v>43520</v>
      </c>
      <c r="I20" s="68" t="n">
        <v>51.8</v>
      </c>
      <c r="J20" s="69" t="n">
        <v>31</v>
      </c>
      <c r="K20" s="65" t="n">
        <v>53.1</v>
      </c>
      <c r="L20" s="70" t="n">
        <v>0.975517890772128</v>
      </c>
      <c r="M20" s="71" t="inlineStr">
        <is>
          <t>Çift Çıkışlı Yüksek Hızlı Kalıp</t>
        </is>
      </c>
    </row>
    <row r="21" ht="20" customHeight="1">
      <c r="A21" s="7" t="inlineStr">
        <is>
          <t>50X80 PERVAZ</t>
        </is>
      </c>
      <c r="B21" s="61" t="inlineStr">
        <is>
          <t>2.20 Metre</t>
        </is>
      </c>
      <c r="C21" s="55" t="inlineStr">
        <is>
          <t>Hat 109</t>
        </is>
      </c>
      <c r="D21" s="55" t="inlineStr">
        <is>
          <t>Tek Göz (1 Kafa)</t>
        </is>
      </c>
      <c r="E21" s="14" t="n">
        <v>118</v>
      </c>
      <c r="F21" s="15" t="n">
        <v>11</v>
      </c>
      <c r="G21" s="11" t="n">
        <v>7740.56</v>
      </c>
      <c r="H21" s="15" t="n">
        <v>5246</v>
      </c>
      <c r="I21" s="16" t="n">
        <v>65.59999999999999</v>
      </c>
      <c r="J21" s="17" t="n">
        <v>44</v>
      </c>
      <c r="K21" s="14" t="n">
        <v>73.59999999999999</v>
      </c>
      <c r="L21" s="19" t="n">
        <v>0.8913043478260869</v>
      </c>
      <c r="M21" s="8" t="inlineStr">
        <is>
          <t>Standart Tek Çıkışlı Kalıp</t>
        </is>
      </c>
    </row>
    <row r="22" ht="20" customHeight="1">
      <c r="A22" s="62" t="inlineStr">
        <is>
          <t>50X80 PERVAZ</t>
        </is>
      </c>
      <c r="B22" s="63" t="inlineStr">
        <is>
          <t>2.20 Metre</t>
        </is>
      </c>
      <c r="C22" s="64" t="inlineStr">
        <is>
          <t>Hat 109</t>
        </is>
      </c>
      <c r="D22" s="13" t="inlineStr">
        <is>
          <t>Çift Göz (2 Kafa)</t>
        </is>
      </c>
      <c r="E22" s="65" t="n">
        <v>1468.2</v>
      </c>
      <c r="F22" s="66" t="n">
        <v>143</v>
      </c>
      <c r="G22" s="67" t="n">
        <v>108114.75</v>
      </c>
      <c r="H22" s="66" t="n">
        <v>72070</v>
      </c>
      <c r="I22" s="68" t="n">
        <v>73.59999999999999</v>
      </c>
      <c r="J22" s="69" t="n">
        <v>49</v>
      </c>
      <c r="K22" s="65" t="n">
        <v>73.59999999999999</v>
      </c>
      <c r="L22" s="70" t="n">
        <v>1</v>
      </c>
      <c r="M22" s="71" t="inlineStr">
        <is>
          <t>Çift Çıkışlı Yüksek Hızlı Kalıp</t>
        </is>
      </c>
    </row>
    <row r="23" ht="20" customHeight="1">
      <c r="A23" s="7" t="inlineStr">
        <is>
          <t>80X80 PERVAZ</t>
        </is>
      </c>
      <c r="B23" s="61" t="inlineStr">
        <is>
          <t>2.20 Metre</t>
        </is>
      </c>
      <c r="C23" s="55" t="inlineStr">
        <is>
          <t>Hat 101</t>
        </is>
      </c>
      <c r="D23" s="55" t="inlineStr">
        <is>
          <t>Tek Göz (1 Kafa)</t>
        </is>
      </c>
      <c r="E23" s="14" t="n">
        <v>260.5</v>
      </c>
      <c r="F23" s="15" t="n">
        <v>27</v>
      </c>
      <c r="G23" s="11" t="n">
        <v>13318</v>
      </c>
      <c r="H23" s="15" t="n">
        <v>5830</v>
      </c>
      <c r="I23" s="16" t="n">
        <v>51.1</v>
      </c>
      <c r="J23" s="17" t="n">
        <v>22</v>
      </c>
      <c r="K23" s="14" t="n">
        <v>46.5</v>
      </c>
      <c r="L23" s="19" t="n">
        <v>1.098924731182796</v>
      </c>
      <c r="M23" s="8" t="inlineStr">
        <is>
          <t>Standart Tek Çıkışlı Kalıp</t>
        </is>
      </c>
    </row>
    <row r="24" ht="20" customHeight="1">
      <c r="A24" s="62" t="inlineStr">
        <is>
          <t>80X80 PERVAZ</t>
        </is>
      </c>
      <c r="B24" s="63" t="inlineStr">
        <is>
          <t>2.20 Metre</t>
        </is>
      </c>
      <c r="C24" s="64" t="inlineStr">
        <is>
          <t>Hat 109</t>
        </is>
      </c>
      <c r="D24" s="13" t="inlineStr">
        <is>
          <t>Çift Göz (2 Kafa)</t>
        </is>
      </c>
      <c r="E24" s="65" t="n">
        <v>12</v>
      </c>
      <c r="F24" s="66" t="n">
        <v>1</v>
      </c>
      <c r="G24" s="67" t="n">
        <v>1021</v>
      </c>
      <c r="H24" s="66" t="n">
        <v>690</v>
      </c>
      <c r="I24" s="68" t="n">
        <v>85.09999999999999</v>
      </c>
      <c r="J24" s="69" t="n">
        <v>58</v>
      </c>
      <c r="K24" s="65" t="n">
        <v>85.09999999999999</v>
      </c>
      <c r="L24" s="70" t="n">
        <v>1</v>
      </c>
      <c r="M24" s="71" t="inlineStr">
        <is>
          <t>Çift Çıkışlı Yüksek Hızlı Kalıp</t>
        </is>
      </c>
    </row>
    <row r="25" ht="20" customHeight="1">
      <c r="A25" s="7" t="inlineStr">
        <is>
          <t>ANTRASİT Levha</t>
        </is>
      </c>
      <c r="B25" s="61" t="inlineStr">
        <is>
          <t>207 cm (2.07 m)</t>
        </is>
      </c>
      <c r="C25" s="55" t="inlineStr">
        <is>
          <t>Hat 201</t>
        </is>
      </c>
      <c r="D25" s="55" t="inlineStr">
        <is>
          <t>Tek Göz (1 Kafa)</t>
        </is>
      </c>
      <c r="E25" s="14" t="n">
        <v>37.72884989747753</v>
      </c>
      <c r="F25" s="15" t="n">
        <v>8</v>
      </c>
      <c r="G25" s="11" t="n">
        <v>5609.52</v>
      </c>
      <c r="H25" s="15" t="n">
        <v>1176</v>
      </c>
      <c r="I25" s="16" t="n">
        <v>148.7</v>
      </c>
      <c r="J25" s="41" t="n">
        <v>31</v>
      </c>
      <c r="K25" s="14" t="n">
        <v>190</v>
      </c>
      <c r="L25" s="48" t="n">
        <v>0.7826315789473683</v>
      </c>
      <c r="M25" s="8" t="inlineStr">
        <is>
          <t>Standart Tek Çıkışlı Kalıp</t>
        </is>
      </c>
    </row>
    <row r="26" ht="20" customHeight="1">
      <c r="A26" s="24" t="inlineStr">
        <is>
          <t>AY GRİ Levha</t>
        </is>
      </c>
      <c r="B26" s="60" t="inlineStr">
        <is>
          <t>207 cm (2.07 m)</t>
        </is>
      </c>
      <c r="C26" s="53" t="inlineStr">
        <is>
          <t>Hat 201</t>
        </is>
      </c>
      <c r="D26" s="53" t="inlineStr">
        <is>
          <t>Tek Göz (1 Kafa)</t>
        </is>
      </c>
      <c r="E26" s="29" t="n">
        <v>38.03440860215053</v>
      </c>
      <c r="F26" s="30" t="n">
        <v>8</v>
      </c>
      <c r="G26" s="27" t="n">
        <v>6018.08</v>
      </c>
      <c r="H26" s="30" t="n">
        <v>1297</v>
      </c>
      <c r="I26" s="31" t="n">
        <v>158.2</v>
      </c>
      <c r="J26" s="45" t="n">
        <v>34</v>
      </c>
      <c r="K26" s="29" t="n">
        <v>190</v>
      </c>
      <c r="L26" s="34" t="n">
        <v>0.8326315789473684</v>
      </c>
      <c r="M26" s="25" t="inlineStr">
        <is>
          <t>Standart Tek Çıkışlı Kalıp</t>
        </is>
      </c>
    </row>
    <row r="27" ht="20" customHeight="1">
      <c r="A27" s="7" t="inlineStr">
        <is>
          <t>BEYAZ TEAK Levha</t>
        </is>
      </c>
      <c r="B27" s="61" t="inlineStr">
        <is>
          <t>207 cm (2.07 m)</t>
        </is>
      </c>
      <c r="C27" s="55" t="inlineStr">
        <is>
          <t>Hat 201</t>
        </is>
      </c>
      <c r="D27" s="55" t="inlineStr">
        <is>
          <t>Tek Göz (1 Kafa)</t>
        </is>
      </c>
      <c r="E27" s="14" t="n">
        <v>173.7487454529077</v>
      </c>
      <c r="F27" s="15" t="n">
        <v>30</v>
      </c>
      <c r="G27" s="11" t="n">
        <v>32060.7</v>
      </c>
      <c r="H27" s="15" t="n">
        <v>7270</v>
      </c>
      <c r="I27" s="16" t="n">
        <v>184.5</v>
      </c>
      <c r="J27" s="41" t="n">
        <v>42</v>
      </c>
      <c r="K27" s="14" t="n">
        <v>190</v>
      </c>
      <c r="L27" s="19" t="n">
        <v>0.9710526315789474</v>
      </c>
      <c r="M27" s="8" t="inlineStr">
        <is>
          <t>Standart Tek Çıkışlı Kalıp</t>
        </is>
      </c>
    </row>
    <row r="28" ht="20" customHeight="1">
      <c r="A28" s="24" t="inlineStr">
        <is>
          <t>CAM ÇITASI</t>
        </is>
      </c>
      <c r="B28" s="60" t="inlineStr">
        <is>
          <t>2.20 Metre</t>
        </is>
      </c>
      <c r="C28" s="53" t="inlineStr">
        <is>
          <t>Hat 102</t>
        </is>
      </c>
      <c r="D28" s="53" t="inlineStr">
        <is>
          <t>Tek Göz (1 Kafa)</t>
        </is>
      </c>
      <c r="E28" s="29" t="n">
        <v>150</v>
      </c>
      <c r="F28" s="30" t="n">
        <v>14</v>
      </c>
      <c r="G28" s="27" t="n">
        <v>7805</v>
      </c>
      <c r="H28" s="30" t="n">
        <v>5187</v>
      </c>
      <c r="I28" s="31" t="n">
        <v>52</v>
      </c>
      <c r="J28" s="32" t="n">
        <v>35</v>
      </c>
      <c r="K28" s="29" t="n">
        <v>50</v>
      </c>
      <c r="L28" s="34" t="n">
        <v>1.04</v>
      </c>
      <c r="M28" s="25" t="inlineStr">
        <is>
          <t>Standart Tek Çıkışlı Kalıp</t>
        </is>
      </c>
    </row>
    <row r="29" ht="20" customHeight="1">
      <c r="A29" s="7" t="inlineStr">
        <is>
          <t>COCO Levha</t>
        </is>
      </c>
      <c r="B29" s="61" t="inlineStr">
        <is>
          <t>207 cm (2.07 m)</t>
        </is>
      </c>
      <c r="C29" s="55" t="inlineStr">
        <is>
          <t>Hat 201</t>
        </is>
      </c>
      <c r="D29" s="55" t="inlineStr">
        <is>
          <t>Tek Göz (1 Kafa)</t>
        </is>
      </c>
      <c r="E29" s="14" t="n">
        <v>14.5</v>
      </c>
      <c r="F29" s="15" t="n">
        <v>3</v>
      </c>
      <c r="G29" s="11" t="n">
        <v>2874</v>
      </c>
      <c r="H29" s="15" t="n">
        <v>600</v>
      </c>
      <c r="I29" s="16" t="n">
        <v>198.2</v>
      </c>
      <c r="J29" s="41" t="n">
        <v>41</v>
      </c>
      <c r="K29" s="14" t="n">
        <v>190</v>
      </c>
      <c r="L29" s="19" t="n">
        <v>1.043157894736842</v>
      </c>
      <c r="M29" s="8" t="inlineStr">
        <is>
          <t>Standart Tek Çıkışlı Kalıp</t>
        </is>
      </c>
    </row>
    <row r="30" ht="20" customHeight="1">
      <c r="A30" s="24" t="inlineStr">
        <is>
          <t>DİŞBUDAK Levha</t>
        </is>
      </c>
      <c r="B30" s="60" t="inlineStr">
        <is>
          <t>207 cm (2.07 m)</t>
        </is>
      </c>
      <c r="C30" s="53" t="inlineStr">
        <is>
          <t>Hat 201</t>
        </is>
      </c>
      <c r="D30" s="53" t="inlineStr">
        <is>
          <t>Tek Göz (1 Kafa)</t>
        </is>
      </c>
      <c r="E30" s="29" t="n">
        <v>632.6096835790281</v>
      </c>
      <c r="F30" s="30" t="n">
        <v>85</v>
      </c>
      <c r="G30" s="27" t="n">
        <v>125422.38</v>
      </c>
      <c r="H30" s="30" t="n">
        <v>26294</v>
      </c>
      <c r="I30" s="31" t="n">
        <v>198.3</v>
      </c>
      <c r="J30" s="45" t="n">
        <v>42</v>
      </c>
      <c r="K30" s="29" t="n">
        <v>190</v>
      </c>
      <c r="L30" s="34" t="n">
        <v>1.043684210526316</v>
      </c>
      <c r="M30" s="25" t="inlineStr">
        <is>
          <t>Standart Tek Çıkışlı Kalıp</t>
        </is>
      </c>
    </row>
    <row r="31" ht="20" customHeight="1">
      <c r="A31" s="7" t="inlineStr">
        <is>
          <t>KOYU CEVİZ Levha</t>
        </is>
      </c>
      <c r="B31" s="61" t="inlineStr">
        <is>
          <t>207 cm (2.07 m)</t>
        </is>
      </c>
      <c r="C31" s="55" t="inlineStr">
        <is>
          <t>Hat 201</t>
        </is>
      </c>
      <c r="D31" s="55" t="inlineStr">
        <is>
          <t>Tek Göz (1 Kafa)</t>
        </is>
      </c>
      <c r="E31" s="14" t="n">
        <v>31.97761876040141</v>
      </c>
      <c r="F31" s="15" t="n">
        <v>7</v>
      </c>
      <c r="G31" s="11" t="n">
        <v>3846.37</v>
      </c>
      <c r="H31" s="15" t="n">
        <v>803</v>
      </c>
      <c r="I31" s="16" t="n">
        <v>120.3</v>
      </c>
      <c r="J31" s="41" t="n">
        <v>25</v>
      </c>
      <c r="K31" s="14" t="n">
        <v>190</v>
      </c>
      <c r="L31" s="48" t="n">
        <v>0.6331578947368421</v>
      </c>
      <c r="M31" s="8" t="inlineStr">
        <is>
          <t>Standart Tek Çıkışlı Kalıp</t>
        </is>
      </c>
    </row>
    <row r="32" ht="20" customHeight="1">
      <c r="A32" s="24" t="inlineStr">
        <is>
          <t>KT100-220x24-ANT</t>
        </is>
      </c>
      <c r="B32" s="60" t="inlineStr">
        <is>
          <t>3.00 Metre</t>
        </is>
      </c>
      <c r="C32" s="53" t="inlineStr">
        <is>
          <t>Hat 107</t>
        </is>
      </c>
      <c r="D32" s="53" t="inlineStr">
        <is>
          <t>Tek Göz (1 Kafa)</t>
        </is>
      </c>
      <c r="E32" s="29" t="n">
        <v>205.7</v>
      </c>
      <c r="F32" s="30" t="n">
        <v>23</v>
      </c>
      <c r="G32" s="27" t="n">
        <v>17678</v>
      </c>
      <c r="H32" s="30" t="n">
        <v>1712</v>
      </c>
      <c r="I32" s="31" t="n">
        <v>85.90000000000001</v>
      </c>
      <c r="J32" s="32" t="n">
        <v>8</v>
      </c>
      <c r="K32" s="29" t="n">
        <v>84.7</v>
      </c>
      <c r="L32" s="34" t="n">
        <v>1.014167650531287</v>
      </c>
      <c r="M32" s="25" t="inlineStr">
        <is>
          <t>Standart Tek Çıkışlı Kalıp</t>
        </is>
      </c>
    </row>
    <row r="33" ht="20" customHeight="1">
      <c r="A33" s="7" t="inlineStr">
        <is>
          <t>KT102-219x26-ANT</t>
        </is>
      </c>
      <c r="B33" s="61" t="inlineStr">
        <is>
          <t>3.00 Metre</t>
        </is>
      </c>
      <c r="C33" s="55" t="inlineStr">
        <is>
          <t>Hat 107</t>
        </is>
      </c>
      <c r="D33" s="55" t="inlineStr">
        <is>
          <t>Tek Göz (1 Kafa)</t>
        </is>
      </c>
      <c r="E33" s="14" t="n">
        <v>87</v>
      </c>
      <c r="F33" s="15" t="n">
        <v>10</v>
      </c>
      <c r="G33" s="11" t="n">
        <v>9415</v>
      </c>
      <c r="H33" s="15" t="n">
        <v>895</v>
      </c>
      <c r="I33" s="16" t="n">
        <v>108.2</v>
      </c>
      <c r="J33" s="17" t="n">
        <v>10</v>
      </c>
      <c r="K33" s="14" t="n">
        <v>108.2</v>
      </c>
      <c r="L33" s="19" t="n">
        <v>1</v>
      </c>
      <c r="M33" s="8" t="inlineStr">
        <is>
          <t>Standart Tek Çıkışlı Kalıp</t>
        </is>
      </c>
    </row>
    <row r="34" ht="20" customHeight="1">
      <c r="A34" s="24" t="inlineStr">
        <is>
          <t>KT102-219x26-KAH</t>
        </is>
      </c>
      <c r="B34" s="60" t="inlineStr">
        <is>
          <t>3.00 Metre</t>
        </is>
      </c>
      <c r="C34" s="53" t="inlineStr">
        <is>
          <t>Hat 107</t>
        </is>
      </c>
      <c r="D34" s="53" t="inlineStr">
        <is>
          <t>Tek Göz (1 Kafa)</t>
        </is>
      </c>
      <c r="E34" s="29" t="n">
        <v>4</v>
      </c>
      <c r="F34" s="30" t="n">
        <v>1</v>
      </c>
      <c r="G34" s="27" t="n">
        <v>463</v>
      </c>
      <c r="H34" s="30" t="n">
        <v>50</v>
      </c>
      <c r="I34" s="31" t="n">
        <v>115.8</v>
      </c>
      <c r="J34" s="32" t="n">
        <v>12</v>
      </c>
      <c r="K34" s="29" t="n">
        <v>115.8</v>
      </c>
      <c r="L34" s="34" t="n">
        <v>1</v>
      </c>
      <c r="M34" s="25" t="inlineStr">
        <is>
          <t>Standart Tek Çıkışlı Kalıp</t>
        </is>
      </c>
    </row>
    <row r="35" ht="20" customHeight="1">
      <c r="A35" s="7" t="inlineStr">
        <is>
          <t>MIX BEYAZ TEAK Levha</t>
        </is>
      </c>
      <c r="B35" s="61" t="inlineStr">
        <is>
          <t>207 cm (2.07 m)</t>
        </is>
      </c>
      <c r="C35" s="55" t="inlineStr">
        <is>
          <t>Hat 201</t>
        </is>
      </c>
      <c r="D35" s="55" t="inlineStr">
        <is>
          <t>Tek Göz (1 Kafa)</t>
        </is>
      </c>
      <c r="E35" s="14" t="n">
        <v>48.79255891118007</v>
      </c>
      <c r="F35" s="15" t="n">
        <v>9</v>
      </c>
      <c r="G35" s="11" t="n">
        <v>9124.75</v>
      </c>
      <c r="H35" s="15" t="n">
        <v>2147</v>
      </c>
      <c r="I35" s="16" t="n">
        <v>187</v>
      </c>
      <c r="J35" s="41" t="n">
        <v>44</v>
      </c>
      <c r="K35" s="14" t="n">
        <v>190</v>
      </c>
      <c r="L35" s="19" t="n">
        <v>0.9842105263157894</v>
      </c>
      <c r="M35" s="8" t="inlineStr">
        <is>
          <t>Standart Tek Çıkışlı Kalıp</t>
        </is>
      </c>
    </row>
    <row r="36" ht="20" customHeight="1">
      <c r="A36" s="24" t="inlineStr">
        <is>
          <t>MIX TEAK Levha</t>
        </is>
      </c>
      <c r="B36" s="60" t="inlineStr">
        <is>
          <t>207 cm (2.07 m)</t>
        </is>
      </c>
      <c r="C36" s="53" t="inlineStr">
        <is>
          <t>Hat 201</t>
        </is>
      </c>
      <c r="D36" s="53" t="inlineStr">
        <is>
          <t>Tek Göz (1 Kafa)</t>
        </is>
      </c>
      <c r="E36" s="29" t="n">
        <v>187.6562562708018</v>
      </c>
      <c r="F36" s="30" t="n">
        <v>31</v>
      </c>
      <c r="G36" s="27" t="n">
        <v>32618.75</v>
      </c>
      <c r="H36" s="30" t="n">
        <v>7675</v>
      </c>
      <c r="I36" s="31" t="n">
        <v>173.8</v>
      </c>
      <c r="J36" s="45" t="n">
        <v>41</v>
      </c>
      <c r="K36" s="29" t="n">
        <v>190</v>
      </c>
      <c r="L36" s="34" t="n">
        <v>0.9147368421052632</v>
      </c>
      <c r="M36" s="25" t="inlineStr">
        <is>
          <t>Standart Tek Çıkışlı Kalıp</t>
        </is>
      </c>
    </row>
    <row r="37" ht="20" customHeight="1">
      <c r="A37" s="62" t="inlineStr">
        <is>
          <t>SEREN</t>
        </is>
      </c>
      <c r="B37" s="63" t="inlineStr">
        <is>
          <t>2.10 Metre</t>
        </is>
      </c>
      <c r="C37" s="64" t="inlineStr">
        <is>
          <t>Hat 103</t>
        </is>
      </c>
      <c r="D37" s="13" t="inlineStr">
        <is>
          <t>Çift Göz (2 Kafa)</t>
        </is>
      </c>
      <c r="E37" s="65" t="n">
        <v>12</v>
      </c>
      <c r="F37" s="66" t="n">
        <v>1</v>
      </c>
      <c r="G37" s="67" t="n">
        <v>760</v>
      </c>
      <c r="H37" s="66" t="n">
        <v>450</v>
      </c>
      <c r="I37" s="68" t="n">
        <v>63.3</v>
      </c>
      <c r="J37" s="69" t="n">
        <v>38</v>
      </c>
      <c r="K37" s="65" t="n">
        <v>63.3</v>
      </c>
      <c r="L37" s="70" t="n">
        <v>1</v>
      </c>
      <c r="M37" s="71" t="inlineStr">
        <is>
          <t>Çift Çıkışlı Yüksek Hızlı Kalıp</t>
        </is>
      </c>
    </row>
    <row r="38" ht="20" customHeight="1">
      <c r="A38" s="24" t="inlineStr">
        <is>
          <t>SEREN</t>
        </is>
      </c>
      <c r="B38" s="60" t="inlineStr">
        <is>
          <t>2.10 Metre</t>
        </is>
      </c>
      <c r="C38" s="53" t="inlineStr">
        <is>
          <t>Hat 104</t>
        </is>
      </c>
      <c r="D38" s="53" t="inlineStr">
        <is>
          <t>Tek Göz (1 Kafa)</t>
        </is>
      </c>
      <c r="E38" s="29" t="n">
        <v>96</v>
      </c>
      <c r="F38" s="30" t="n">
        <v>8</v>
      </c>
      <c r="G38" s="27" t="n">
        <v>10910</v>
      </c>
      <c r="H38" s="30" t="n">
        <v>3171</v>
      </c>
      <c r="I38" s="31" t="n">
        <v>113.6</v>
      </c>
      <c r="J38" s="32" t="n">
        <v>33</v>
      </c>
      <c r="K38" s="29" t="n">
        <v>99.2</v>
      </c>
      <c r="L38" s="34" t="n">
        <v>1.145161290322581</v>
      </c>
      <c r="M38" s="25" t="inlineStr">
        <is>
          <t>Standart Tek Çıkışlı Kalıp</t>
        </is>
      </c>
    </row>
    <row r="39" ht="20" customHeight="1">
      <c r="A39" s="62" t="inlineStr">
        <is>
          <t>SEREN</t>
        </is>
      </c>
      <c r="B39" s="63" t="inlineStr">
        <is>
          <t>2.10 Metre</t>
        </is>
      </c>
      <c r="C39" s="64" t="inlineStr">
        <is>
          <t>Hat 104</t>
        </is>
      </c>
      <c r="D39" s="13" t="inlineStr">
        <is>
          <t>Çift Göz (2 Kafa)</t>
        </is>
      </c>
      <c r="E39" s="65" t="n">
        <v>1574.4</v>
      </c>
      <c r="F39" s="66" t="n">
        <v>142</v>
      </c>
      <c r="G39" s="67" t="n">
        <v>149881.32</v>
      </c>
      <c r="H39" s="66" t="n">
        <v>43971</v>
      </c>
      <c r="I39" s="68" t="n">
        <v>95.2</v>
      </c>
      <c r="J39" s="69" t="n">
        <v>28</v>
      </c>
      <c r="K39" s="65" t="n">
        <v>99.2</v>
      </c>
      <c r="L39" s="70" t="n">
        <v>0.9596774193548387</v>
      </c>
      <c r="M39" s="71" t="inlineStr">
        <is>
          <t>Çift Çıkışlı Yüksek Hızlı Kalıp</t>
        </is>
      </c>
    </row>
    <row r="40" ht="20" customHeight="1">
      <c r="A40" s="24" t="inlineStr">
        <is>
          <t>SEREN</t>
        </is>
      </c>
      <c r="B40" s="60" t="inlineStr">
        <is>
          <t>2.10 Metre</t>
        </is>
      </c>
      <c r="C40" s="53" t="inlineStr">
        <is>
          <t>Hat 105</t>
        </is>
      </c>
      <c r="D40" s="53" t="inlineStr">
        <is>
          <t>Tek Göz (1 Kafa)</t>
        </is>
      </c>
      <c r="E40" s="29" t="n">
        <v>129</v>
      </c>
      <c r="F40" s="30" t="n">
        <v>12</v>
      </c>
      <c r="G40" s="27" t="n">
        <v>13117</v>
      </c>
      <c r="H40" s="30" t="n">
        <v>3772</v>
      </c>
      <c r="I40" s="31" t="n">
        <v>101.7</v>
      </c>
      <c r="J40" s="32" t="n">
        <v>29</v>
      </c>
      <c r="K40" s="29" t="n">
        <v>92.2</v>
      </c>
      <c r="L40" s="34" t="n">
        <v>1.103036876355748</v>
      </c>
      <c r="M40" s="25" t="inlineStr">
        <is>
          <t>Standart Tek Çıkışlı Kalıp</t>
        </is>
      </c>
    </row>
    <row r="41" ht="20" customHeight="1">
      <c r="A41" s="62" t="inlineStr">
        <is>
          <t>SEREN</t>
        </is>
      </c>
      <c r="B41" s="63" t="inlineStr">
        <is>
          <t>2.10 Metre</t>
        </is>
      </c>
      <c r="C41" s="64" t="inlineStr">
        <is>
          <t>Hat 105</t>
        </is>
      </c>
      <c r="D41" s="13" t="inlineStr">
        <is>
          <t>Çift Göz (2 Kafa)</t>
        </is>
      </c>
      <c r="E41" s="65" t="n">
        <v>1395.5</v>
      </c>
      <c r="F41" s="66" t="n">
        <v>125</v>
      </c>
      <c r="G41" s="67" t="n">
        <v>125656.47</v>
      </c>
      <c r="H41" s="66" t="n">
        <v>36907</v>
      </c>
      <c r="I41" s="68" t="n">
        <v>90</v>
      </c>
      <c r="J41" s="69" t="n">
        <v>26</v>
      </c>
      <c r="K41" s="65" t="n">
        <v>92.2</v>
      </c>
      <c r="L41" s="70" t="n">
        <v>0.9761388286334056</v>
      </c>
      <c r="M41" s="71" t="inlineStr">
        <is>
          <t>Çift Çıkışlı Yüksek Hızlı Kalıp</t>
        </is>
      </c>
    </row>
    <row r="42" ht="20" customHeight="1">
      <c r="A42" s="24" t="inlineStr">
        <is>
          <t>SEREN</t>
        </is>
      </c>
      <c r="B42" s="60" t="inlineStr">
        <is>
          <t>2.10 Metre</t>
        </is>
      </c>
      <c r="C42" s="53" t="inlineStr">
        <is>
          <t>Hat 107</t>
        </is>
      </c>
      <c r="D42" s="53" t="inlineStr">
        <is>
          <t>Tek Göz (1 Kafa)</t>
        </is>
      </c>
      <c r="E42" s="29" t="n">
        <v>42</v>
      </c>
      <c r="F42" s="30" t="n">
        <v>4</v>
      </c>
      <c r="G42" s="27" t="n">
        <v>3477</v>
      </c>
      <c r="H42" s="30" t="n">
        <v>865</v>
      </c>
      <c r="I42" s="31" t="n">
        <v>82.8</v>
      </c>
      <c r="J42" s="32" t="n">
        <v>21</v>
      </c>
      <c r="K42" s="29" t="n">
        <v>82.59999999999999</v>
      </c>
      <c r="L42" s="34" t="n">
        <v>1.002421307506053</v>
      </c>
      <c r="M42" s="25" t="inlineStr">
        <is>
          <t>Standart Tek Çıkışlı Kalıp</t>
        </is>
      </c>
    </row>
    <row r="43" ht="20" customHeight="1">
      <c r="A43" s="7" t="inlineStr">
        <is>
          <t>SEREN(39mm)</t>
        </is>
      </c>
      <c r="B43" s="61" t="inlineStr">
        <is>
          <t>2.10 Metre</t>
        </is>
      </c>
      <c r="C43" s="55" t="inlineStr">
        <is>
          <t>Hat 107</t>
        </is>
      </c>
      <c r="D43" s="55" t="inlineStr">
        <is>
          <t>Tek Göz (1 Kafa)</t>
        </is>
      </c>
      <c r="E43" s="14" t="n">
        <v>327</v>
      </c>
      <c r="F43" s="15" t="n">
        <v>29</v>
      </c>
      <c r="G43" s="11" t="n">
        <v>34458</v>
      </c>
      <c r="H43" s="15" t="n">
        <v>9123</v>
      </c>
      <c r="I43" s="16" t="n">
        <v>105.4</v>
      </c>
      <c r="J43" s="17" t="n">
        <v>28</v>
      </c>
      <c r="K43" s="14" t="n">
        <v>96.09999999999999</v>
      </c>
      <c r="L43" s="19" t="n">
        <v>1.096774193548387</v>
      </c>
      <c r="M43" s="8" t="inlineStr">
        <is>
          <t>Standart Tek Çıkışlı Kalıp</t>
        </is>
      </c>
    </row>
    <row r="44" ht="20" customHeight="1">
      <c r="A44" s="24" t="inlineStr">
        <is>
          <t>SONOMO Levha</t>
        </is>
      </c>
      <c r="B44" s="60" t="inlineStr">
        <is>
          <t>207 cm (2.07 m)</t>
        </is>
      </c>
      <c r="C44" s="53" t="inlineStr">
        <is>
          <t>Hat 201</t>
        </is>
      </c>
      <c r="D44" s="53" t="inlineStr">
        <is>
          <t>Tek Göz (1 Kafa)</t>
        </is>
      </c>
      <c r="E44" s="29" t="n">
        <v>47.95702552864577</v>
      </c>
      <c r="F44" s="30" t="n">
        <v>13</v>
      </c>
      <c r="G44" s="27" t="n">
        <v>7690.08</v>
      </c>
      <c r="H44" s="30" t="n">
        <v>1776</v>
      </c>
      <c r="I44" s="31" t="n">
        <v>160.4</v>
      </c>
      <c r="J44" s="45" t="n">
        <v>37</v>
      </c>
      <c r="K44" s="29" t="n">
        <v>190</v>
      </c>
      <c r="L44" s="34" t="n">
        <v>0.8442105263157896</v>
      </c>
      <c r="M44" s="25" t="inlineStr">
        <is>
          <t>Standart Tek Çıkışlı Kalıp</t>
        </is>
      </c>
    </row>
    <row r="45" ht="20" customHeight="1">
      <c r="A45" s="7" t="inlineStr">
        <is>
          <t>TEAK Levha</t>
        </is>
      </c>
      <c r="B45" s="61" t="inlineStr">
        <is>
          <t>207 cm (2.07 m)</t>
        </is>
      </c>
      <c r="C45" s="55" t="inlineStr">
        <is>
          <t>Hat 201</t>
        </is>
      </c>
      <c r="D45" s="55" t="inlineStr">
        <is>
          <t>Tek Göz (1 Kafa)</t>
        </is>
      </c>
      <c r="E45" s="14" t="n">
        <v>235.1702808249805</v>
      </c>
      <c r="F45" s="15" t="n">
        <v>37</v>
      </c>
      <c r="G45" s="11" t="n">
        <v>39775.75</v>
      </c>
      <c r="H45" s="15" t="n">
        <v>9359</v>
      </c>
      <c r="I45" s="16" t="n">
        <v>169.1</v>
      </c>
      <c r="J45" s="41" t="n">
        <v>40</v>
      </c>
      <c r="K45" s="14" t="n">
        <v>190</v>
      </c>
      <c r="L45" s="19" t="n">
        <v>0.89</v>
      </c>
      <c r="M45" s="8" t="inlineStr">
        <is>
          <t>Standart Tek Çıkışlı Kalıp</t>
        </is>
      </c>
    </row>
    <row r="46" ht="20" customHeight="1">
      <c r="A46" s="24" t="inlineStr">
        <is>
          <t>U KAPAMA</t>
        </is>
      </c>
      <c r="B46" s="60" t="inlineStr">
        <is>
          <t>2.20 Metre</t>
        </is>
      </c>
      <c r="C46" s="53" t="inlineStr">
        <is>
          <t>Hat 102</t>
        </is>
      </c>
      <c r="D46" s="53" t="inlineStr">
        <is>
          <t>Tek Göz (1 Kafa)</t>
        </is>
      </c>
      <c r="E46" s="29" t="n">
        <v>34</v>
      </c>
      <c r="F46" s="30" t="n">
        <v>4</v>
      </c>
      <c r="G46" s="27" t="n">
        <v>1385</v>
      </c>
      <c r="H46" s="30" t="n">
        <v>2901</v>
      </c>
      <c r="I46" s="31" t="n">
        <v>40.7</v>
      </c>
      <c r="J46" s="32" t="n">
        <v>85</v>
      </c>
      <c r="K46" s="29" t="n">
        <v>40.7</v>
      </c>
      <c r="L46" s="34" t="n">
        <v>1</v>
      </c>
      <c r="M46" s="25" t="inlineStr">
        <is>
          <t>Standart Tek Çıkışlı Kalıp</t>
        </is>
      </c>
    </row>
    <row r="47" ht="20" customHeight="1">
      <c r="A47" s="7" t="inlineStr">
        <is>
          <t>VIZON Levha</t>
        </is>
      </c>
      <c r="B47" s="61" t="inlineStr">
        <is>
          <t>207 cm (2.07 m)</t>
        </is>
      </c>
      <c r="C47" s="55" t="inlineStr">
        <is>
          <t>Hat 201</t>
        </is>
      </c>
      <c r="D47" s="55" t="inlineStr">
        <is>
          <t>Tek Göz (1 Kafa)</t>
        </is>
      </c>
      <c r="E47" s="14" t="n">
        <v>114.2245721724266</v>
      </c>
      <c r="F47" s="15" t="n">
        <v>22</v>
      </c>
      <c r="G47" s="11" t="n">
        <v>18364.5</v>
      </c>
      <c r="H47" s="15" t="n">
        <v>3850</v>
      </c>
      <c r="I47" s="16" t="n">
        <v>160.8</v>
      </c>
      <c r="J47" s="41" t="n">
        <v>34</v>
      </c>
      <c r="K47" s="14" t="n">
        <v>190</v>
      </c>
      <c r="L47" s="19" t="n">
        <v>0.8463157894736842</v>
      </c>
      <c r="M47" s="8" t="inlineStr">
        <is>
          <t>Standart Tek Çıkışlı Kalıp</t>
        </is>
      </c>
    </row>
    <row r="48" ht="24" customHeight="1">
      <c r="A48" s="57" t="inlineStr">
        <is>
          <t>GENEL TOPLAM (FİLTREYE DUYARLI)</t>
        </is>
      </c>
      <c r="B48" s="50" t="n"/>
      <c r="C48" s="50" t="n"/>
      <c r="D48" s="50" t="n"/>
      <c r="E48" s="52">
        <f>SUBTOTAL(109, E4:E47)</f>
        <v/>
      </c>
      <c r="F48" s="51">
        <f>SUBTOTAL(109, F4:F47)</f>
        <v/>
      </c>
      <c r="G48" s="51">
        <f>SUBTOTAL(109, G4:G47)</f>
        <v/>
      </c>
      <c r="H48" s="51">
        <f>SUBTOTAL(109, H4:H47)</f>
        <v/>
      </c>
      <c r="I48" s="50" t="n"/>
      <c r="J48" s="50" t="n"/>
      <c r="K48" s="50" t="n"/>
      <c r="L48" s="50" t="n"/>
      <c r="M48" s="50" t="n"/>
    </row>
  </sheetData>
  <autoFilter ref="A3:M47"/>
  <mergeCells count="2">
    <mergeCell ref="A2:M2"/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2026-10-23T08:44:59Z</dcterms:created>
  <dcterms:modified xsi:type="dcterms:W3CDTF">2026-10-23T08:45:00Z</dcterms:modified>
</cp:coreProperties>
</file>